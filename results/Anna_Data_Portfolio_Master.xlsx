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worksheets/sheet14.xml" ContentType="application/vnd.openxmlformats-officedocument.spreadsheetml.worksheet+xml"/>
  <Override PartName="/xl/tables/table8.xml" ContentType="application/vnd.openxmlformats-officedocument.spreadsheetml.table+xml"/>
  <Override PartName="/xl/worksheets/sheet15.xml" ContentType="application/vnd.openxmlformats-officedocument.spreadsheetml.worksheet+xml"/>
  <Override PartName="/xl/tables/table9.xml" ContentType="application/vnd.openxmlformats-officedocument.spreadsheetml.table+xml"/>
  <Override PartName="/xl/worksheets/sheet16.xml" ContentType="application/vnd.openxmlformats-officedocument.spreadsheetml.worksheet+xml"/>
  <Override PartName="/xl/drawings/drawing5.xml" ContentType="application/vnd.openxmlformats-officedocument.drawing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6cef6c6a6740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be6da71d91c4ca3"/>
    <x:sheet xmlns:r="http://schemas.openxmlformats.org/officeDocument/2006/relationships" name="Case_Descriptions" sheetId="2" r:id="R790882f380d7478e"/>
    <x:sheet xmlns:r="http://schemas.openxmlformats.org/officeDocument/2006/relationships" name="DC_Raw" sheetId="3" r:id="Ref4e3971f6d64af1"/>
    <x:sheet xmlns:r="http://schemas.openxmlformats.org/officeDocument/2006/relationships" name="DC_Clean" sheetId="4" r:id="R9d46f47d14674da6"/>
    <x:sheet xmlns:r="http://schemas.openxmlformats.org/officeDocument/2006/relationships" name="DC_Dashboard" sheetId="5" r:id="Rf8152a7009384f56"/>
    <x:sheet xmlns:r="http://schemas.openxmlformats.org/officeDocument/2006/relationships" name="Sales_Raw" sheetId="6" r:id="R3cc962ad57ad4f5d"/>
    <x:sheet xmlns:r="http://schemas.openxmlformats.org/officeDocument/2006/relationships" name="Sales_Dashboard" sheetId="7" r:id="R984f2822a8d74bf8"/>
    <x:sheet xmlns:r="http://schemas.openxmlformats.org/officeDocument/2006/relationships" name="Trading_Raw" sheetId="8" r:id="R5d70fd1768a5456e"/>
    <x:sheet xmlns:r="http://schemas.openxmlformats.org/officeDocument/2006/relationships" name="Trading_Clean" sheetId="9" r:id="Rf62809933ddf4de9"/>
    <x:sheet xmlns:r="http://schemas.openxmlformats.org/officeDocument/2006/relationships" name="Trading_Dashboard" sheetId="10" r:id="R8796918c103d4b8a"/>
    <x:sheet xmlns:r="http://schemas.openxmlformats.org/officeDocument/2006/relationships" name="Marketing_Raw" sheetId="11" r:id="Rcb4a974d00a14a48"/>
    <x:sheet xmlns:r="http://schemas.openxmlformats.org/officeDocument/2006/relationships" name="Marketing_Dashboard" sheetId="12" r:id="Rd651c8124ffd4325"/>
    <x:sheet xmlns:r="http://schemas.openxmlformats.org/officeDocument/2006/relationships" name="CRM_Clients" sheetId="13" r:id="R359b9ba6d4994292"/>
    <x:sheet xmlns:r="http://schemas.openxmlformats.org/officeDocument/2006/relationships" name="CRM_Deals" sheetId="14" r:id="R46f5a95c6fce47de"/>
    <x:sheet xmlns:r="http://schemas.openxmlformats.org/officeDocument/2006/relationships" name="CRM_Tasks" sheetId="15" r:id="R9388c314506842d7"/>
    <x:sheet xmlns:r="http://schemas.openxmlformats.org/officeDocument/2006/relationships" name="CRM_Dashboard" sheetId="16" r:id="Rad484f60805741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yyyy-mm-dd"/>
    <x:numFmt numFmtId="201" formatCode="€#,##0.00"/>
    <x:numFmt numFmtId="202" formatCode="0"/>
    <x:numFmt numFmtId="203" formatCode="€#,##0"/>
    <x:numFmt numFmtId="204" formatCode="0%"/>
    <x:numFmt numFmtId="205" formatCode="0.0%"/>
    <x:numFmt numFmtId="206" formatCode="yyyy-mm-dd hh:mm"/>
    <x:numFmt numFmtId="207" formatCode="0.000000"/>
    <x:numFmt numFmtId="208" formatCode="$#,##0.00"/>
    <x:numFmt numFmtId="209" formatCode="0.00%"/>
    <x:numFmt numFmtId="210" formatCode="0.00"/>
    <x:numFmt numFmtId="211" formatCode="$#,##0"/>
    <x:numFmt numFmtId="212" formatCode="#,##0"/>
  </x:numFmts>
  <x:fonts count="6">
    <x:font>
      <x:sz val="11"/>
      <x:name val="Carlito"/>
    </x:font>
    <x:font>
      <x:b/>
      <x:sz val="16"/>
      <x:color rgb="FFFFFF"/>
      <x:name val="Carlito"/>
    </x:font>
    <x:font>
      <x:i/>
      <x:sz val="11"/>
      <x:color rgb="374151"/>
      <x:name val="Carlito"/>
    </x:font>
    <x:font>
      <x:b/>
      <x:sz val="11"/>
      <x:color rgb="111827"/>
      <x:name val="Carlito"/>
    </x:font>
    <x:font>
      <x:b/>
      <x:sz val="11"/>
      <x:color rgb="FFFFFF"/>
      <x:name val="Carlito"/>
    </x:font>
    <x:font>
      <x:b/>
      <x:sz val="14"/>
      <x:color rgb="11182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F8FAFC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E7E6E6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1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/>
    </x:xf>
    <x:xf numFmtId="202" fontId="5" fillId="7" borderId="0" xfId="0" applyNumberFormat="1" applyFont="1" applyFill="1" applyBorder="1" applyAlignment="1">
      <x:alignment horizontal="center" vertical="center"/>
    </x:xf>
    <x:xf numFmtId="202" fontId="5" fillId="7" borderId="1" xfId="0" applyNumberFormat="1" applyFont="1" applyFill="1" applyBorder="1" applyAlignment="1">
      <x:alignment horizontal="center" vertical="center"/>
    </x:xf>
    <x:xf numFmtId="201" fontId="5" fillId="7" borderId="0" xfId="0" applyNumberFormat="1" applyFont="1" applyFill="1" applyBorder="1" applyAlignment="1">
      <x:alignment horizontal="center" vertical="center"/>
    </x:xf>
    <x:xf numFmtId="201" fontId="5" fillId="7" borderId="1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3" fontId="5" fillId="7" borderId="0" xfId="0" applyNumberFormat="1" applyFont="1" applyFill="1" applyBorder="1" applyAlignment="1">
      <x:alignment horizontal="center" vertical="center"/>
    </x:xf>
    <x:xf numFmtId="203" fontId="5" fillId="7" borderId="1" xfId="0" applyNumberFormat="1" applyFont="1" applyFill="1" applyBorder="1" applyAlignment="1">
      <x:alignment horizontal="center" vertical="center"/>
    </x:xf>
    <x:xf numFmtId="205" fontId="5" fillId="7" borderId="0" xfId="0" applyNumberFormat="1" applyFont="1" applyFill="1" applyBorder="1" applyAlignment="1">
      <x:alignment horizontal="center" vertical="center"/>
    </x:xf>
    <x:xf numFmtId="205" fontId="5" fillId="7" borderId="1" xfId="0" applyNumberFormat="1" applyFont="1" applyFill="1" applyBorder="1" applyAlignment="1">
      <x:alignment horizontal="center" vertical="center"/>
    </x:xf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8" fontId="0" fillId="0" borderId="0" xfId="0" applyNumberFormat="1" applyFont="1" applyFill="1" applyBorder="1"/>
    <x:xf numFmtId="208" fontId="0" fillId="0" borderId="1" xfId="0" applyNumberFormat="1" applyFont="1" applyFill="1" applyBorder="1"/>
    <x:xf numFmtId="209" fontId="0" fillId="0" borderId="0" xfId="0" applyNumberFormat="1" applyFont="1" applyFill="1" applyBorder="1"/>
    <x:xf numFmtId="209" fontId="0" fillId="0" borderId="1" xfId="0" applyNumberFormat="1" applyFont="1" applyFill="1" applyBorder="1"/>
    <x:xf numFmtId="210" fontId="0" fillId="0" borderId="0" xfId="0" applyNumberFormat="1" applyFont="1" applyFill="1" applyBorder="1"/>
    <x:xf numFmtId="210" fontId="0" fillId="0" borderId="1" xfId="0" applyNumberFormat="1" applyFont="1" applyFill="1" applyBorder="1"/>
    <x:xf numFmtId="208" fontId="5" fillId="7" borderId="0" xfId="0" applyNumberFormat="1" applyFont="1" applyFill="1" applyBorder="1" applyAlignment="1">
      <x:alignment horizontal="center" vertical="center"/>
    </x:xf>
    <x:xf numFmtId="208" fontId="5" fillId="7" borderId="1" xfId="0" applyNumberFormat="1" applyFont="1" applyFill="1" applyBorder="1" applyAlignment="1">
      <x:alignment horizontal="center" vertical="center"/>
    </x:xf>
    <x:xf numFmtId="210" fontId="5" fillId="7" borderId="0" xfId="0" applyNumberFormat="1" applyFont="1" applyFill="1" applyBorder="1" applyAlignment="1">
      <x:alignment horizontal="center" vertical="center"/>
    </x:xf>
    <x:xf numFmtId="210" fontId="5" fillId="7" borderId="1" xfId="0" applyNumberFormat="1" applyFont="1" applyFill="1" applyBorder="1" applyAlignment="1">
      <x:alignment horizontal="center" vertical="center"/>
    </x:xf>
    <x:xf numFmtId="211" fontId="0" fillId="0" borderId="0" xfId="0" applyNumberFormat="1" applyFont="1" applyFill="1" applyBorder="1"/>
    <x:xf numFmtId="211" fontId="0" fillId="0" borderId="1" xfId="0" applyNumberFormat="1" applyFont="1" applyFill="1" applyBorder="1"/>
    <x:xf numFmtId="212" fontId="0" fillId="0" borderId="0" xfId="0" applyNumberFormat="1" applyFont="1" applyFill="1" applyBorder="1"/>
    <x:xf numFmtId="212" fontId="0" fillId="0" borderId="1" xfId="0" applyNumberFormat="1" applyFont="1" applyFill="1" applyBorder="1"/>
    <x:xf numFmtId="211" fontId="5" fillId="7" borderId="0" xfId="0" applyNumberFormat="1" applyFont="1" applyFill="1" applyBorder="1" applyAlignment="1">
      <x:alignment horizontal="center" vertical="center"/>
    </x:xf>
    <x:xf numFmtId="211" fontId="5" fillId="7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5" fillId="7" borderId="0" xfId="0" applyNumberFormat="1" applyFont="1" applyFill="1" applyBorder="1" applyAlignment="1">
      <x:alignment horizontal="center" vertical="center" wrapText="1"/>
    </x:xf>
    <x:xf numFmtId="201" fontId="5" fillId="7" borderId="0" xfId="0" applyNumberFormat="1" applyFont="1" applyFill="1" applyBorder="1" applyAlignment="1">
      <x:alignment horizontal="center" vertical="center" wrapText="1"/>
    </x:xf>
    <x:xf numFmtId="202" fontId="5" fillId="7" borderId="1" xfId="0" applyNumberFormat="1" applyFont="1" applyFill="1" applyBorder="1" applyAlignment="1">
      <x:alignment horizontal="center" vertical="center" wrapText="1"/>
    </x:xf>
    <x:xf numFmtId="201" fontId="5" fillId="7" borderId="1" xfId="0" applyNumberFormat="1" applyFont="1" applyFill="1" applyBorder="1" applyAlignment="1">
      <x:alignment horizontal="center" vertical="center" wrapText="1"/>
    </x:xf>
    <x:xf numFmtId="203" fontId="5" fillId="7" borderId="0" xfId="0" applyNumberFormat="1" applyFont="1" applyFill="1" applyBorder="1" applyAlignment="1">
      <x:alignment horizontal="center" vertical="center" wrapText="1"/>
    </x:xf>
    <x:xf numFmtId="205" fontId="5" fillId="7" borderId="0" xfId="0" applyNumberFormat="1" applyFont="1" applyFill="1" applyBorder="1" applyAlignment="1">
      <x:alignment horizontal="center" vertical="center" wrapText="1"/>
    </x:xf>
    <x:xf numFmtId="203" fontId="5" fillId="7" borderId="1" xfId="0" applyNumberFormat="1" applyFont="1" applyFill="1" applyBorder="1" applyAlignment="1">
      <x:alignment horizontal="center" vertical="center" wrapText="1"/>
    </x:xf>
    <x:xf numFmtId="205" fontId="5" fillId="7" borderId="1" xfId="0" applyNumberFormat="1" applyFont="1" applyFill="1" applyBorder="1" applyAlignment="1">
      <x:alignment horizontal="center" vertical="center" wrapText="1"/>
    </x:xf>
    <x:xf numFmtId="208" fontId="5" fillId="7" borderId="0" xfId="0" applyNumberFormat="1" applyFont="1" applyFill="1" applyBorder="1" applyAlignment="1">
      <x:alignment horizontal="center" vertical="center" wrapText="1"/>
    </x:xf>
    <x:xf numFmtId="210" fontId="5" fillId="7" borderId="0" xfId="0" applyNumberFormat="1" applyFont="1" applyFill="1" applyBorder="1" applyAlignment="1">
      <x:alignment horizontal="center" vertical="center" wrapText="1"/>
    </x:xf>
    <x:xf numFmtId="208" fontId="5" fillId="7" borderId="1" xfId="0" applyNumberFormat="1" applyFont="1" applyFill="1" applyBorder="1" applyAlignment="1">
      <x:alignment horizontal="center" vertical="center" wrapText="1"/>
    </x:xf>
    <x:xf numFmtId="210" fontId="5" fillId="7" borderId="1" xfId="0" applyNumberFormat="1" applyFont="1" applyFill="1" applyBorder="1" applyAlignment="1">
      <x:alignment horizontal="center" vertical="center" wrapText="1"/>
    </x:xf>
    <x:xf numFmtId="211" fontId="5" fillId="7" borderId="0" xfId="0" applyNumberFormat="1" applyFont="1" applyFill="1" applyBorder="1" applyAlignment="1">
      <x:alignment horizontal="center" vertical="center" wrapText="1"/>
    </x:xf>
    <x:xf numFmtId="211" fontId="5" fillId="7" borderId="1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8">
    <x:dxf>
      <x:fill>
        <x:patternFill patternType="solid">
          <x:bgColor rgb="F4CCCC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b778918d7342fe" /><Relationship Type="http://schemas.openxmlformats.org/officeDocument/2006/relationships/theme" Target="/xl/theme/theme1.xml" Id="Rbd2a06f3584846a3" /><Relationship Type="http://schemas.microsoft.com/office/2022/11/relationships/FeaturePropertyBag" Target="/xl/featurePropertyBag/featurePropertyBag.xml" Id="R0b2e5893e5304d53" /><Relationship Type="http://schemas.openxmlformats.org/officeDocument/2006/relationships/sharedStrings" Target="/xl/sharedStrings.xml" Id="R3bef0942b0e74a68" /><Relationship Type="http://schemas.openxmlformats.org/officeDocument/2006/relationships/worksheet" Target="/xl/worksheets/sheet1.xml" Id="R0be6da71d91c4ca3" /><Relationship Type="http://schemas.openxmlformats.org/officeDocument/2006/relationships/worksheet" Target="/xl/worksheets/sheet2.xml" Id="R790882f380d7478e" /><Relationship Type="http://schemas.openxmlformats.org/officeDocument/2006/relationships/worksheet" Target="/xl/worksheets/sheet3.xml" Id="Ref4e3971f6d64af1" /><Relationship Type="http://schemas.openxmlformats.org/officeDocument/2006/relationships/worksheet" Target="/xl/worksheets/sheet4.xml" Id="R9d46f47d14674da6" /><Relationship Type="http://schemas.openxmlformats.org/officeDocument/2006/relationships/worksheet" Target="/xl/worksheets/sheet5.xml" Id="Rf8152a7009384f56" /><Relationship Type="http://schemas.openxmlformats.org/officeDocument/2006/relationships/worksheet" Target="/xl/worksheets/sheet6.xml" Id="R3cc962ad57ad4f5d" /><Relationship Type="http://schemas.openxmlformats.org/officeDocument/2006/relationships/worksheet" Target="/xl/worksheets/sheet7.xml" Id="R984f2822a8d74bf8" /><Relationship Type="http://schemas.openxmlformats.org/officeDocument/2006/relationships/worksheet" Target="/xl/worksheets/sheet8.xml" Id="R5d70fd1768a5456e" /><Relationship Type="http://schemas.openxmlformats.org/officeDocument/2006/relationships/worksheet" Target="/xl/worksheets/sheet9.xml" Id="Rf62809933ddf4de9" /><Relationship Type="http://schemas.openxmlformats.org/officeDocument/2006/relationships/worksheet" Target="/xl/worksheets/sheet10.xml" Id="R8796918c103d4b8a" /><Relationship Type="http://schemas.openxmlformats.org/officeDocument/2006/relationships/worksheet" Target="/xl/worksheets/sheet11.xml" Id="Rcb4a974d00a14a48" /><Relationship Type="http://schemas.openxmlformats.org/officeDocument/2006/relationships/worksheet" Target="/xl/worksheets/sheet12.xml" Id="Rd651c8124ffd4325" /><Relationship Type="http://schemas.openxmlformats.org/officeDocument/2006/relationships/worksheet" Target="/xl/worksheets/sheet13.xml" Id="R359b9ba6d4994292" /><Relationship Type="http://schemas.openxmlformats.org/officeDocument/2006/relationships/worksheet" Target="/xl/worksheets/sheet14.xml" Id="R46f5a95c6fce47de" /><Relationship Type="http://schemas.openxmlformats.org/officeDocument/2006/relationships/worksheet" Target="/xl/worksheets/sheet15.xml" Id="R9388c314506842d7" /><Relationship Type="http://schemas.openxmlformats.org/officeDocument/2006/relationships/worksheet" Target="/xl/worksheets/sheet16.xml" Id="Rad484f60805741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17d345029f448ec" /><Relationship Type="http://schemas.openxmlformats.org/officeDocument/2006/relationships/chart" Target="/xl/drawings/charts/chart2.xml" Id="R35fa2ff4451b46fb" /><Relationship Type="http://schemas.openxmlformats.org/officeDocument/2006/relationships/chart" Target="/xl/drawings/charts/chart3.xml" Id="Rdae55d616742494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c287141a605e4048" /><Relationship Type="http://schemas.openxmlformats.org/officeDocument/2006/relationships/chart" Target="/xl/drawings/charts/chart5.xml" Id="Rb13ee31b39fc4030" /><Relationship Type="http://schemas.openxmlformats.org/officeDocument/2006/relationships/chart" Target="/xl/drawings/charts/chart6.xml" Id="Re481d4c976cc4e5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751f8ece92444cfe" /><Relationship Type="http://schemas.openxmlformats.org/officeDocument/2006/relationships/chart" Target="/xl/drawings/charts/chart8.xml" Id="Rc574866198134ec0" /><Relationship Type="http://schemas.openxmlformats.org/officeDocument/2006/relationships/chart" Target="/xl/drawings/charts/chart9.xml" Id="Ra07c58902963420e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3559a2f9e04649e3" /><Relationship Type="http://schemas.openxmlformats.org/officeDocument/2006/relationships/chart" Target="/xl/drawings/charts/chart11.xml" Id="Rb957649ce7dd4836" /><Relationship Type="http://schemas.openxmlformats.org/officeDocument/2006/relationships/chart" Target="/xl/drawings/charts/chart12.xml" Id="R3b868427efd244bc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479003667eb3423b" /><Relationship Type="http://schemas.openxmlformats.org/officeDocument/2006/relationships/chart" Target="/xl/drawings/charts/chart14.xml" Id="Re931edb638074db4" /><Relationship Type="http://schemas.openxmlformats.org/officeDocument/2006/relationships/chart" Target="/xl/drawings/charts/chart15.xml" Id="Rf504a18c073d4f7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Orders by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Orders</c:v>
          </c:tx>
          <c:cat>
            <c:strRef>
              <c:f>'DC_Dashboard'!$A$9:$A$12</c:f>
              <c:strCache>
                <c:ptCount val="0"/>
              </c:strCache>
            </c:strRef>
          </c:cat>
          <c:val>
            <c:numRef>
              <c:f>'DC_Dashboard'!$B$9:$B$12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Paid revenue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'DC_Dashboard'!$D$9:$D$13</c:f>
              <c:strCache>
                <c:ptCount val="0"/>
              </c:strCache>
            </c:strRef>
          </c:cat>
          <c:val>
            <c:numRef>
              <c:f>'DC_Dashboard'!$E$9:$E$13</c:f>
              <c:numCache>
                <c:formatCode>€#,##0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Paid revenue by city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Paid revenue</c:v>
          </c:tx>
          <c:cat>
            <c:strRef>
              <c:f>'DC_Dashboard'!$G$9:$G$14</c:f>
              <c:strCache>
                <c:ptCount val="0"/>
              </c:strCache>
            </c:strRef>
          </c:cat>
          <c:val>
            <c:numRef>
              <c:f>'DC_Dashboard'!$H$9:$H$14</c:f>
              <c:numCache>
                <c:formatCode>€#,##0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revenue and profit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Revenue</c:v>
          </c:tx>
          <c:cat>
            <c:strRef>
              <c:f>'Sales_Dashboard'!$A$9:$A$14</c:f>
              <c:strCache>
                <c:ptCount val="0"/>
              </c:strCache>
            </c:strRef>
          </c:cat>
          <c:val>
            <c:numRef>
              <c:f>'Sales_Dashboard'!$B$9:$B$14</c:f>
              <c:numCache>
                <c:formatCode>€#,##0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</c:v>
          </c:tx>
          <c:cat>
            <c:strRef>
              <c:f>'Sales_Dashboard'!$A$9:$A$14</c:f>
              <c:strCache>
                <c:ptCount val="0"/>
              </c:strCache>
            </c:strRef>
          </c:cat>
          <c:val>
            <c:numRef>
              <c:f>'Sales_Dashboard'!$C$9:$C$14</c:f>
              <c:numCache>
                <c:formatCode>€#,##0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manager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'Sales_Dashboard'!$E$9:$E$14</c:f>
              <c:strCache>
                <c:ptCount val="0"/>
              </c:strCache>
            </c:strRef>
          </c:cat>
          <c:val>
            <c:numRef>
              <c:f>'Sales_Dashboard'!$F$9:$F$14</c:f>
              <c:numCache>
                <c:formatCode>€#,##0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'Sales_Dashboard'!$H$9:$H$12</c:f>
              <c:strCache>
                <c:ptCount val="0"/>
              </c:strCache>
            </c:strRef>
          </c:cat>
          <c:val>
            <c:numRef>
              <c:f>'Sales_Dashboard'!$I$9:$I$12</c:f>
              <c:numCache>
                <c:formatCode>€#,##0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Equity curve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Equity</c:v>
          </c:tx>
          <c:cat>
            <c:strRef>
              <c:f>'Trading_Dashboard'!$A$9:$A$188</c:f>
              <c:strCache>
                <c:ptCount val="0"/>
              </c:strCache>
            </c:strRef>
          </c:cat>
          <c:val>
            <c:numRef>
              <c:f>'Trading_Dashboard'!$B$9:$B$188</c:f>
              <c:numCache>
                <c:formatCode>$#,##0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PnL by symbol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PnL</c:v>
          </c:tx>
          <c:cat>
            <c:strRef>
              <c:f>'Trading_Dashboard'!$D$9:$D$16</c:f>
              <c:strCache>
                <c:ptCount val="0"/>
              </c:strCache>
            </c:strRef>
          </c:cat>
          <c:val>
            <c:numRef>
              <c:f>'Trading_Dashboard'!$E$9:$E$16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Mistake frequency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'Trading_Dashboard'!$J$9:$J$14</c:f>
              <c:strCache>
                <c:ptCount val="0"/>
              </c:strCache>
            </c:strRef>
          </c:cat>
          <c:val>
            <c:numRef>
              <c:f>'Trading_Dashboard'!$K$9:$K$14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Channel performance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Spend</c:v>
          </c:tx>
          <c:cat>
            <c:strRef>
              <c:f>'Marketing_Dashboard'!$A$9:$A$14</c:f>
              <c:strCache>
                <c:ptCount val="0"/>
              </c:strCache>
            </c:strRef>
          </c:cat>
          <c:val>
            <c:numRef>
              <c:f>'Marketing_Dashboard'!$B$9:$B$14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Revenue</c:v>
          </c:tx>
          <c:cat>
            <c:strRef>
              <c:f>'Marketing_Dashboard'!$A$9:$A$14</c:f>
              <c:strCache>
                <c:ptCount val="0"/>
              </c:strCache>
            </c:strRef>
          </c:cat>
          <c:val>
            <c:numRef>
              <c:f>'Marketing_Dashboard'!$C$9:$C$14</c:f>
              <c:numCache>
                <c:formatCode>$#,##0</c:formatCode>
                <c:ptCount val="0"/>
              </c:numCache>
            </c:numRef>
          </c:val>
        </c:ser>
        <c:ser>
          <c:idx val="2"/>
          <c:order val="2"/>
          <c:tx>
            <c:v>Leads</c:v>
          </c:tx>
          <c:cat>
            <c:strRef>
              <c:f>'Marketing_Dashboard'!$A$9:$A$14</c:f>
              <c:strCache>
                <c:ptCount val="0"/>
              </c:strCache>
            </c:strRef>
          </c:cat>
          <c:val>
            <c:numRef>
              <c:f>'Marketing_Dashboard'!$D$9:$D$14</c:f>
              <c:numCache>
                <c:formatCode>0</c:formatCode>
                <c:ptCount val="0"/>
              </c:numCache>
            </c:numRef>
          </c:val>
        </c:ser>
        <c:ser>
          <c:idx val="3"/>
          <c:order val="3"/>
          <c:tx>
            <c:v>ROAS</c:v>
          </c:tx>
          <c:cat>
            <c:strRef>
              <c:f>'Marketing_Dashboard'!$A$9:$A$14</c:f>
              <c:strCache>
                <c:ptCount val="0"/>
              </c:strCache>
            </c:strRef>
          </c:cat>
          <c:val>
            <c:numRef>
              <c:f>'Marketing_Dashboard'!$E$9:$E$14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spend vs revenue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Spend</c:v>
          </c:tx>
          <c:cat>
            <c:strRef>
              <c:f>'Marketing_Dashboard'!$G$9:$G$14</c:f>
              <c:strCache>
                <c:ptCount val="0"/>
              </c:strCache>
            </c:strRef>
          </c:cat>
          <c:val>
            <c:numRef>
              <c:f>'Marketing_Dashboard'!$H$9:$H$14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Revenue</c:v>
          </c:tx>
          <c:cat>
            <c:strRef>
              <c:f>'Marketing_Dashboard'!$G$9:$G$14</c:f>
              <c:strCache>
                <c:ptCount val="0"/>
              </c:strCache>
            </c:strRef>
          </c:cat>
          <c:val>
            <c:numRef>
              <c:f>'Marketing_Dashboard'!$I$9:$I$14</c:f>
              <c:numCache>
                <c:formatCode>$#,##0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Spend vs revenue by channel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Spend</c:v>
          </c:tx>
          <c:cat>
            <c:strRef>
              <c:f>'Marketing_Dashboard'!$A$9:$A$14</c:f>
              <c:strCache>
                <c:ptCount val="0"/>
              </c:strCache>
            </c:strRef>
          </c:cat>
          <c:val>
            <c:numRef>
              <c:f>'Marketing_Dashboard'!$B$9:$B$14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Revenue</c:v>
          </c:tx>
          <c:cat>
            <c:strRef>
              <c:f>'Marketing_Dashboard'!$A$9:$A$14</c:f>
              <c:strCache>
                <c:ptCount val="0"/>
              </c:strCache>
            </c:strRef>
          </c:cat>
          <c:val>
            <c:numRef>
              <c:f>'Marketing_Dashboard'!$C$9:$C$14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Pipeline by stage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Deal value</c:v>
          </c:tx>
          <c:cat>
            <c:strRef>
              <c:f>'CRM_Dashboard'!$A$9:$A$14</c:f>
              <c:strCache>
                <c:ptCount val="0"/>
              </c:strCache>
            </c:strRef>
          </c:cat>
          <c:val>
            <c:numRef>
              <c:f>'CRM_Dashboard'!$B$9:$B$14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Tasks by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'CRM_Dashboard'!$D$9:$D$12</c:f>
              <c:strCache>
                <c:ptCount val="0"/>
              </c:strCache>
            </c:strRef>
          </c:cat>
          <c:val>
            <c:numRef>
              <c:f>'CRM_Dashboard'!$E$9:$E$12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Open tasks by owner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Open tasks</c:v>
          </c:tx>
          <c:cat>
            <c:strRef>
              <c:f>'CRM_Dashboard'!$G$9:$G$14</c:f>
              <c:strCache>
                <c:ptCount val="0"/>
              </c:strCache>
            </c:strRef>
          </c:cat>
          <c:val>
            <c:numRef>
              <c:f>'CRM_Dashboard'!$H$9:$H$14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5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7d345029f448ec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fa2ff4451b46fb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6</xdr:col>
      <xdr:colOff>0</xdr:colOff>
      <xdr:row>49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e55d616742494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6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87141a605e4048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13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3ee31b39fc4030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6</xdr:col>
      <xdr:colOff>0</xdr:colOff>
      <xdr:row>54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81d4c976cc4e5a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1f8ece92444cfe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13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74866198134ec0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6</xdr:col>
      <xdr:colOff>0</xdr:colOff>
      <xdr:row>58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7c58902963420e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6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59a2f9e04649e3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13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57649ce7dd4836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6</xdr:col>
      <xdr:colOff>0</xdr:colOff>
      <xdr:row>54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868427efd244bc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6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9003667eb3423b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13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31edb638074db4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6</xdr:col>
      <xdr:colOff>0</xdr:colOff>
      <xdr:row>54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04a18c073d4f72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CRawOrdersTable" displayName="DCRawOrdersTable" ref="A4:J234" headerRowCount="1">
  <x:tableColumns count="10">
    <x:tableColumn id="1" name="Order ID"/>
    <x:tableColumn id="2" name="Customer Name"/>
    <x:tableColumn id="3" name="Email"/>
    <x:tableColumn id="4" name="Phone"/>
    <x:tableColumn id="5" name="City"/>
    <x:tableColumn id="6" name="Order Date"/>
    <x:tableColumn id="7" name="Product"/>
    <x:tableColumn id="8" name="Category"/>
    <x:tableColumn id="9" name="Amount"/>
    <x:tableColumn id="10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DCCleanOrdersTable" displayName="DCCleanOrdersTable" ref="A4:L234" headerRowCount="1">
  <x:tableColumns count="12">
    <x:tableColumn id="1" name="Order ID"/>
    <x:tableColumn id="2" name="Customer Name Clean"/>
    <x:tableColumn id="3" name="Email Clean"/>
    <x:tableColumn id="4" name="Phone Clean"/>
    <x:tableColumn id="5" name="City Clean"/>
    <x:tableColumn id="6" name="Order Date Clean"/>
    <x:tableColumn id="7" name="Product"/>
    <x:tableColumn id="8" name="Category"/>
    <x:tableColumn id="9" name="Amount Clean"/>
    <x:tableColumn id="10" name="Status Clean"/>
    <x:tableColumn id="11" name="Duplicate?"/>
    <x:tableColumn id="12" name="Quality Flag"/>
  </x:tableColumns>
  <x:tableStyleInfo name="TableStyleMedium2" showRowStripes="1"/>
</x:table>
</file>

<file path=xl/tables/table3.xml><?xml version="1.0" encoding="utf-8"?>
<x:table xmlns:x="http://schemas.openxmlformats.org/spreadsheetml/2006/main" id="3" name="SalesRawTable" displayName="SalesRawTable" ref="A4:L364" headerRowCount="1">
  <x:tableColumns count="12">
    <x:tableColumn id="1" name="Date"/>
    <x:tableColumn id="2" name="Month"/>
    <x:tableColumn id="3" name="Region"/>
    <x:tableColumn id="4" name="Manager"/>
    <x:tableColumn id="5" name="Category"/>
    <x:tableColumn id="6" name="Product"/>
    <x:tableColumn id="7" name="Units"/>
    <x:tableColumn id="8" name="Unit Price"/>
    <x:tableColumn id="9" name="Discount %"/>
    <x:tableColumn id="10" name="Revenue"/>
    <x:tableColumn id="11" name="Cost"/>
    <x:tableColumn id="12" name="Profit"/>
  </x:tableColumns>
  <x:tableStyleInfo name="TableStyleMedium2" showRowStripes="1"/>
</x:table>
</file>

<file path=xl/tables/table4.xml><?xml version="1.0" encoding="utf-8"?>
<x:table xmlns:x="http://schemas.openxmlformats.org/spreadsheetml/2006/main" id="4" name="TradingRawTable" displayName="TradingRawTable" ref="A4:O184" headerRowCount="1">
  <x:tableColumns count="15">
    <x:tableColumn id="1" name="Trade #"/>
    <x:tableColumn id="2" name="Date"/>
    <x:tableColumn id="3" name="Symbol"/>
    <x:tableColumn id="4" name="Exchange"/>
    <x:tableColumn id="5" name="TF"/>
    <x:tableColumn id="6" name="Direction"/>
    <x:tableColumn id="7" name="Entry"/>
    <x:tableColumn id="8" name="Exit"/>
    <x:tableColumn id="9" name="Stop Loss"/>
    <x:tableColumn id="10" name="Take Profit"/>
    <x:tableColumn id="11" name="Size USDT"/>
    <x:tableColumn id="12" name="Leverage"/>
    <x:tableColumn id="13" name="Fees"/>
    <x:tableColumn id="14" name="Setup"/>
    <x:tableColumn id="15" name="Mistake"/>
  </x:tableColumns>
  <x:tableStyleInfo name="TableStyleMedium2" showRowStripes="1"/>
</x:table>
</file>

<file path=xl/tables/table5.xml><?xml version="1.0" encoding="utf-8"?>
<x:table xmlns:x="http://schemas.openxmlformats.org/spreadsheetml/2006/main" id="5" name="TradingCleanTable" displayName="TradingCleanTable" ref="A4:V184" headerRowCount="1">
  <x:tableColumns count="22">
    <x:tableColumn id="1" name="Trade #"/>
    <x:tableColumn id="2" name="Date"/>
    <x:tableColumn id="3" name="Symbol"/>
    <x:tableColumn id="4" name="Exchange"/>
    <x:tableColumn id="5" name="TF"/>
    <x:tableColumn id="6" name="Direction"/>
    <x:tableColumn id="7" name="Entry"/>
    <x:tableColumn id="8" name="Exit"/>
    <x:tableColumn id="9" name="Stop Loss"/>
    <x:tableColumn id="10" name="Take Profit"/>
    <x:tableColumn id="11" name="Size USDT"/>
    <x:tableColumn id="12" name="Leverage"/>
    <x:tableColumn id="13" name="Fees"/>
    <x:tableColumn id="14" name="Setup"/>
    <x:tableColumn id="15" name="Mistake"/>
    <x:tableColumn id="16" name="PnL USDT"/>
    <x:tableColumn id="17" name="PnL %"/>
    <x:tableColumn id="18" name="Risk %"/>
    <x:tableColumn id="19" name="Reward %"/>
    <x:tableColumn id="20" name="R multiple"/>
    <x:tableColumn id="21" name="Result"/>
    <x:tableColumn id="22" name="Equity Curve"/>
  </x:tableColumns>
  <x:tableStyleInfo name="TableStyleMedium2" showRowStripes="1"/>
</x:table>
</file>

<file path=xl/tables/table6.xml><?xml version="1.0" encoding="utf-8"?>
<x:table xmlns:x="http://schemas.openxmlformats.org/spreadsheetml/2006/main" id="6" name="MarketingRawTable" displayName="MarketingRawTable" ref="A4:N304" headerRowCount="1">
  <x:tableColumns count="14">
    <x:tableColumn id="1" name="Date"/>
    <x:tableColumn id="2" name="Month"/>
    <x:tableColumn id="3" name="Channel"/>
    <x:tableColumn id="4" name="Campaign"/>
    <x:tableColumn id="5" name="Spend"/>
    <x:tableColumn id="6" name="Impressions"/>
    <x:tableColumn id="7" name="Clicks"/>
    <x:tableColumn id="8" name="Leads"/>
    <x:tableColumn id="9" name="Sales"/>
    <x:tableColumn id="10" name="Revenue"/>
    <x:tableColumn id="11" name="CTR"/>
    <x:tableColumn id="12" name="Lead CVR"/>
    <x:tableColumn id="13" name="CPA"/>
    <x:tableColumn id="14" name="ROAS"/>
  </x:tableColumns>
  <x:tableStyleInfo name="TableStyleMedium2" showRowStripes="1"/>
</x:table>
</file>

<file path=xl/tables/table7.xml><?xml version="1.0" encoding="utf-8"?>
<x:table xmlns:x="http://schemas.openxmlformats.org/spreadsheetml/2006/main" id="7" name="CRMClientsTable" displayName="CRMClientsTable" ref="A4:F84" headerRowCount="1">
  <x:tableColumns count="6">
    <x:tableColumn id="1" name="Client ID"/>
    <x:tableColumn id="2" name="Client Name"/>
    <x:tableColumn id="3" name="Industry"/>
    <x:tableColumn id="4" name="Status"/>
    <x:tableColumn id="5" name="Owner"/>
    <x:tableColumn id="6" name="Created Date"/>
  </x:tableColumns>
  <x:tableStyleInfo name="TableStyleMedium2" showRowStripes="1"/>
</x:table>
</file>

<file path=xl/tables/table8.xml><?xml version="1.0" encoding="utf-8"?>
<x:table xmlns:x="http://schemas.openxmlformats.org/spreadsheetml/2006/main" id="8" name="CRMDealsTable" displayName="CRMDealsTable" ref="A4:H164" headerRowCount="1">
  <x:tableColumns count="8">
    <x:tableColumn id="1" name="Deal ID"/>
    <x:tableColumn id="2" name="Client ID"/>
    <x:tableColumn id="3" name="Client Name"/>
    <x:tableColumn id="4" name="Stage"/>
    <x:tableColumn id="5" name="Deal Value"/>
    <x:tableColumn id="6" name="Probability"/>
    <x:tableColumn id="7" name="Expected Close"/>
    <x:tableColumn id="8" name="Owner"/>
  </x:tableColumns>
  <x:tableStyleInfo name="TableStyleMedium2" showRowStripes="1"/>
</x:table>
</file>

<file path=xl/tables/table9.xml><?xml version="1.0" encoding="utf-8"?>
<x:table xmlns:x="http://schemas.openxmlformats.org/spreadsheetml/2006/main" id="9" name="CRMTasksTable" displayName="CRMTasksTable" ref="A4:H224" headerRowCount="1">
  <x:tableColumns count="8">
    <x:tableColumn id="1" name="Task ID"/>
    <x:tableColumn id="2" name="Deal ID"/>
    <x:tableColumn id="3" name="Client Name"/>
    <x:tableColumn id="4" name="Task"/>
    <x:tableColumn id="5" name="Priority"/>
    <x:tableColumn id="6" name="Status"/>
    <x:tableColumn id="7" name="Due Date"/>
    <x:tableColumn id="8" name="Own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2d12868ec9c4c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3afbf8789cd4c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d6171bc7e4d242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60776621c31b40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bafdec3ee0eb40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13314cfedc2742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f382f4c3452e4c0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3.xml" Id="Re648db25397b47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6.xml" Id="Rfb4398b11f3b41f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4.xml" Id="Ra629486b1a8c45d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7.xml" Id="R01a009452ac341c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8.xml" Id="Rcafe199534ef436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9.xml" Id="Reeeb09b2ef8c497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5.xml" Id="R6044d1b882aa420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 ht="28" customHeight="1">
      <x:c r="A1" s="5" t="str">
        <x:v>Excel / Google Sheets Data Portfolio — Anna</x:v>
      </x:c>
    </x:row>
    <x:row r="2" ht="34" customHeight="1">
      <x:c r="A2" s="12" t="str">
        <x:v>5 demo кейсов: Data Cleaning, Sales Dashboard, Crypto Trading Journal, Marketing Dashboard, Mini CRM. Все данные синтетические.</x:v>
      </x:c>
    </x:row>
    <x:row r="4">
      <x:c r="A4" s="19" t="str">
        <x:v>Как использовать</x:v>
      </x:c>
      <x:c r="B4" s="25" t="str">
        <x:v>1) Открой workbook. 2) Для портфолио экспортируй каждый dashboard в PDF/PNG. 3) Загрузи Excel-файл или Google Sheets view-only link на Upwork/Fiverr/Kwork. 4) В описании используй тексты из листа Case_Descriptions.</x:v>
      </x:c>
    </x:row>
    <x:row r="5">
      <x:c r="A5" s="19" t="str">
        <x:v>Что демонстрирует</x:v>
      </x:c>
      <x:c r="B5" s="25" t="str">
        <x:v>Excel/Sheets, data cleaning, formulas, pivot-style summaries, dashboards, KPI cards, charts, business logic, trading analytics, SQL/Python-ready case structure.</x:v>
      </x:c>
    </x:row>
    <x:row r="6">
      <x:c r="A6" s="19" t="str">
        <x:v>Важно</x:v>
      </x:c>
      <x:c r="B6" s="25" t="str">
        <x:v>Формулы dashboards рассчитаны на англоязычные функции Excel/Google Sheets. При открытии файл пересчитает dashboard-метрики автоматически. В DC_Clean очищенные значения зафиксированы, чтобы portfolio-preview не зависел от различий formula engine.</x:v>
      </x:c>
    </x:row>
    <x:row r="7">
      <x:c r="A7" s="19" t="str">
        <x:v>Следующий шаг</x:v>
      </x:c>
      <x:c r="B7" s="25" t="str">
        <x:v>Можно разделить этот master workbook на 5 отдельных Google Sheets файлов и дать каждому публичную view-only ссылку.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42" hidden="0" customWidth="1"/>
    <x:col min="4" max="4" width="40" hidden="0" customWidth="1"/>
    <x:col min="5" max="5" width="32" hidden="0" customWidth="1"/>
    <x:col min="6" max="6" width="34" hidden="0" customWidth="1"/>
  </x:cols>
  <x:sheetData>
    <x:row r="1" ht="28" customHeight="1">
      <x:c r="A1" s="5" t="str">
        <x:v>Portfolio Case Descriptions</x:v>
      </x:c>
    </x:row>
    <x:row r="2" ht="34" customHeight="1">
      <x:c r="A2" s="12" t="str">
        <x:v>Короткие описания для Upwork/Fiverr/Kwork/Google Drive портфолио.</x:v>
      </x:c>
    </x:row>
    <x:row r="4">
      <x:c r="A4" s="32" t="str">
        <x:v>Case</x:v>
      </x:c>
      <x:c r="B4" s="32" t="str">
        <x:v>Problem</x:v>
      </x:c>
      <x:c r="C4" s="32" t="str">
        <x:v>What I did</x:v>
      </x:c>
      <x:c r="D4" s="32" t="str">
        <x:v>Result</x:v>
      </x:c>
      <x:c r="E4" s="32" t="str">
        <x:v>Best for</x:v>
      </x:c>
      <x:c r="F4" s="32" t="str">
        <x:v>Portfolio title</x:v>
      </x:c>
    </x:row>
    <x:row r="5">
      <x:c r="A5" s="25" t="str">
        <x:v>Data Cleaning Before/After</x:v>
      </x:c>
      <x:c r="B5" s="25" t="str">
        <x:v>Messy customer order dataset with duplicate rows, inconsistent dates, mixed status labels, unclean emails/phones and text-formatted amounts.</x:v>
      </x:c>
      <x:c r="C5" s="25" t="str">
        <x:v>Cleaned and standardized names, emails, phones, cities, dates, statuses and amount fields; added duplicate detection and data quality flags. Dashboard metrics are formula-driven.</x:v>
      </x:c>
      <x:c r="D5" s="25" t="str">
        <x:v>Created a clean dataset and a dashboard showing total records, duplicates, revenue, status split and category/city breakdowns.</x:v>
      </x:c>
      <x:c r="E5" s="25" t="str">
        <x:v>Data cleaning, spreadsheet cleanup, CSV import preparation.</x:v>
      </x:c>
      <x:c r="F5" s="25" t="str">
        <x:v>Before/After Data Cleaning in Excel / Google Sheets</x:v>
      </x:c>
    </x:row>
    <x:row r="6">
      <x:c r="A6" s="25" t="str">
        <x:v>Sales KPI Dashboard</x:v>
      </x:c>
      <x:c r="B6" s="25" t="str">
        <x:v>Raw sales transactions were hard to read and did not show revenue, profit, product/category performance or manager KPIs.</x:v>
      </x:c>
      <x:c r="C6" s="25" t="str">
        <x:v>Built clean sales fields, KPI cards, summary tables and charts for revenue, profit, average order value, manager performance and categories.</x:v>
      </x:c>
      <x:c r="D6" s="25" t="str">
        <x:v>A clear dashboard for monthly performance, top products, regions and sales managers.</x:v>
      </x:c>
      <x:c r="E6" s="25" t="str">
        <x:v>Small business sales reporting, ecommerce reports, KPI dashboards.</x:v>
      </x:c>
      <x:c r="F6" s="25" t="str">
        <x:v>Sales KPI Dashboard in Google Sheets</x:v>
      </x:c>
    </x:row>
    <x:row r="7">
      <x:c r="A7" s="25" t="str">
        <x:v>Crypto Trading Journal Dashboard</x:v>
      </x:c>
      <x:c r="B7" s="25" t="str">
        <x:v>Manual trading records did not show win rate, PnL trend, long/short split, best symbols, setups or recurring mistakes.</x:v>
      </x:c>
      <x:c r="C7" s="25" t="str">
        <x:v>Built a trading journal with PnL, PnL %, R/R, equity curve, symbol statistics, setup performance and mistake breakdown.</x:v>
      </x:c>
      <x:c r="D7" s="25" t="str">
        <x:v>A practical dashboard that helps traders review performance and identify strategy weaknesses.</x:v>
      </x:c>
      <x:c r="E7" s="25" t="str">
        <x:v>Trading journal, crypto analytics, futures performance review.</x:v>
      </x:c>
      <x:c r="F7" s="25" t="str">
        <x:v>Crypto Trading Journal Dashboard in Google Sheets</x:v>
      </x:c>
    </x:row>
    <x:row r="8">
      <x:c r="A8" s="25" t="str">
        <x:v>Marketing Performance Dashboard</x:v>
      </x:c>
      <x:c r="B8" s="25" t="str">
        <x:v>Ad campaign data was fragmented and did not clearly show spend efficiency, CPA, ROAS, channel quality or trends.</x:v>
      </x:c>
      <x:c r="C8" s="25" t="str">
        <x:v>Calculated CTR, CVR, CPA and ROAS; created channel and monthly summaries plus dashboard charts.</x:v>
      </x:c>
      <x:c r="D8" s="25" t="str">
        <x:v>A marketing dashboard for comparing channels, campaigns and monthly efficiency.</x:v>
      </x:c>
      <x:c r="E8" s="25" t="str">
        <x:v>Marketing agencies, ecommerce, ads performance reports.</x:v>
      </x:c>
      <x:c r="F8" s="25" t="str">
        <x:v>Marketing Performance Dashboard</x:v>
      </x:c>
    </x:row>
    <x:row r="9">
      <x:c r="A9" s="25" t="str">
        <x:v>Mini CRM / Business Tracker</x:v>
      </x:c>
      <x:c r="B9" s="25" t="str">
        <x:v>Small-business client/deal/task data needed a simple system to track pipeline, payments, owners and overdue tasks.</x:v>
      </x:c>
      <x:c r="C9" s="25" t="str">
        <x:v>Created clients, deals, tasks and payments sheets with status fields, formulas, dashboard metrics and visual breakdowns.</x:v>
      </x:c>
      <x:c r="D9" s="25" t="str">
        <x:v>A lightweight spreadsheet CRM with pipeline overview, deal status, payment summary and overdue task alerts.</x:v>
      </x:c>
      <x:c r="E9" s="25" t="str">
        <x:v>Freelancers, agencies, small business operations.</x:v>
      </x:c>
      <x:c r="F9" s="25" t="str">
        <x:v>Mini CRM and Sales Tracker in Google Sheets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30" hidden="0" customWidth="1"/>
    <x:col min="4" max="4" width="20" hidden="0" customWidth="1"/>
    <x:col min="5" max="5" width="14" hidden="0" customWidth="1"/>
    <x:col min="6" max="6" width="14" hidden="0" customWidth="1"/>
    <x:col min="7" max="7" width="20" hidden="0" customWidth="1"/>
    <x:col min="8" max="8" width="14" hidden="0" customWidth="1"/>
    <x:col min="9" max="9" width="12" hidden="0" customWidth="1"/>
    <x:col min="10" max="10" width="12" hidden="0" customWidth="1"/>
  </x:cols>
  <x:sheetData>
    <x:row r="1" ht="28" customHeight="1">
      <x:c r="A1" s="5" t="str">
        <x:v>Case 1 — Raw Messy Customer Orders</x:v>
      </x:c>
    </x:row>
    <x:row r="2" ht="34" customHeight="1">
      <x:c r="A2" s="12" t="str">
        <x:v>Synthetic raw data with intentional inconsistencies for data cleaning portfolio case.</x:v>
      </x:c>
    </x:row>
    <x:row r="4">
      <x:c r="A4" s="32" t="str">
        <x:v>Order ID</x:v>
      </x:c>
      <x:c r="B4" s="32" t="str">
        <x:v>Customer Name</x:v>
      </x:c>
      <x:c r="C4" s="32" t="str">
        <x:v>Email</x:v>
      </x:c>
      <x:c r="D4" s="32" t="str">
        <x:v>Phone</x:v>
      </x:c>
      <x:c r="E4" s="32" t="str">
        <x:v>City</x:v>
      </x:c>
      <x:c r="F4" s="32" t="str">
        <x:v>Order Date</x:v>
      </x:c>
      <x:c r="G4" s="32" t="str">
        <x:v>Product</x:v>
      </x:c>
      <x:c r="H4" s="32" t="str">
        <x:v>Category</x:v>
      </x:c>
      <x:c r="I4" s="32" t="str">
        <x:v>Amount</x:v>
      </x:c>
      <x:c r="J4" s="32" t="str">
        <x:v>Status</x:v>
      </x:c>
    </x:row>
    <x:row r="5">
      <x:c r="A5" t="str">
        <x:v>ORD-1001</x:v>
      </x:c>
      <x:c r="B5" t="str">
        <x:v>Olga Sokolova</x:v>
      </x:c>
      <x:c r="C5" t="str">
        <x:v>olga.sokolova1@gmail.com</x:v>
      </x:c>
      <x:c r="D5" t="str">
        <x:v>(+372) 581 1873</x:v>
      </x:c>
      <x:c r="E5" t="str">
        <x:v>Riga</x:v>
      </x:c>
      <x:c r="F5" t="str">
        <x:v>2026-05-26</x:v>
      </x:c>
      <x:c r="G5" t="str">
        <x:v>Notebook A5</x:v>
      </x:c>
      <x:c r="H5" t="str">
        <x:v>Office</x:v>
      </x:c>
      <x:c r="I5" t="str">
        <x:v>€21.97</x:v>
      </x:c>
      <x:c r="J5" t="str">
        <x:v>Canceled</x:v>
      </x:c>
    </x:row>
    <x:row r="6">
      <x:c r="A6" t="str">
        <x:v>ORD-1002</x:v>
      </x:c>
      <x:c r="B6" t="str">
        <x:v>Alina Fedorova</x:v>
      </x:c>
      <x:c r="C6" t="str">
        <x:v> ALINA.FEDOROVA2@GMAIL.COM </x:v>
      </x:c>
      <x:c r="D6" t="str">
        <x:v>+372 575 8969</x:v>
      </x:c>
      <x:c r="E6" t="str">
        <x:v>Riga</x:v>
      </x:c>
      <x:c r="F6" t="str">
        <x:v>02-24-2026</x:v>
      </x:c>
      <x:c r="G6" t="str">
        <x:v>Coffee Beans</x:v>
      </x:c>
      <x:c r="H6" t="str">
        <x:v>Food</x:v>
      </x:c>
      <x:c r="I6" t="str">
        <x:v>€59.65</x:v>
      </x:c>
      <x:c r="J6" t="str">
        <x:v> pending</x:v>
      </x:c>
    </x:row>
    <x:row r="7">
      <x:c r="A7" t="str">
        <x:v>ORD-1003</x:v>
      </x:c>
      <x:c r="B7" t="str">
        <x:v>Elena Smirnova</x:v>
      </x:c>
      <x:c r="C7" t="str">
        <x:v>elena.smirnova3@gmail.com</x:v>
      </x:c>
      <x:c r="D7" t="str">
        <x:v>(+372) 540 3513</x:v>
      </x:c>
      <x:c r="E7" t="str">
        <x:v>Helsinki</x:v>
      </x:c>
      <x:c r="F7" t="str">
        <x:v>05-10-2026</x:v>
      </x:c>
      <x:c r="G7" t="str">
        <x:v>Coffee Beans</x:v>
      </x:c>
      <x:c r="H7" t="str">
        <x:v>Food</x:v>
      </x:c>
      <x:c r="I7" t="str">
        <x:v>26,25</x:v>
      </x:c>
      <x:c r="J7" t="str">
        <x:v>Pending </x:v>
      </x:c>
    </x:row>
    <x:row r="8">
      <x:c r="A8" t="str">
        <x:v>ORD-1004</x:v>
      </x:c>
      <x:c r="B8" t="str">
        <x:v>Maria Petrova</x:v>
      </x:c>
      <x:c r="C8" t="str">
        <x:v>maria.petrova4@gmail.com</x:v>
      </x:c>
      <x:c r="D8" t="str">
        <x:v>+372-520-4622</x:v>
      </x:c>
      <x:c r="E8" t="str">
        <x:v>vilnius</x:v>
      </x:c>
      <x:c r="F8" t="str">
        <x:v>13/01/2026</x:v>
      </x:c>
      <x:c r="G8" t="str">
        <x:v>Premium Tea</x:v>
      </x:c>
      <x:c r="H8" t="str">
        <x:v>Food</x:v>
      </x:c>
      <x:c r="I8" t="str">
        <x:v>38,47</x:v>
      </x:c>
      <x:c r="J8" t="str">
        <x:v>REFUNDED</x:v>
      </x:c>
    </x:row>
    <x:row r="9">
      <x:c r="A9" t="str">
        <x:v>ORD-1005</x:v>
      </x:c>
      <x:c r="B9" t="str">
        <x:v>Maria Petrova</x:v>
      </x:c>
      <x:c r="C9" t="str">
        <x:v>maria.petrova5@example.com</x:v>
      </x:c>
      <x:c r="D9" t="str">
        <x:v>+372 592 3509</x:v>
      </x:c>
      <x:c r="E9" t="str">
        <x:v>Warsaw</x:v>
      </x:c>
      <x:c r="F9" t="str">
        <x:v>2026-05-10</x:v>
      </x:c>
      <x:c r="G9" t="str">
        <x:v>USB-C Cable</x:v>
      </x:c>
      <x:c r="H9" t="str">
        <x:v>Electronics</x:v>
      </x:c>
      <x:c r="I9" t="str">
        <x:v>19.65</x:v>
      </x:c>
      <x:c r="J9" t="str">
        <x:v>refunded</x:v>
      </x:c>
    </x:row>
    <x:row r="10">
      <x:c r="A10" t="str">
        <x:v>ORD-1006</x:v>
      </x:c>
      <x:c r="B10" t="str">
        <x:v>Alina Fedorova</x:v>
      </x:c>
      <x:c r="C10" t="str">
        <x:v>alina.fedorova6@mail.com</x:v>
      </x:c>
      <x:c r="D10" t="str">
        <x:v>(+372) 546 1462</x:v>
      </x:c>
      <x:c r="E10" t="str">
        <x:v>Riga</x:v>
      </x:c>
      <x:c r="F10" t="str">
        <x:v>03-18-2026</x:v>
      </x:c>
      <x:c r="G10" t="str">
        <x:v>Wireless Mouse</x:v>
      </x:c>
      <x:c r="H10" t="str">
        <x:v>Electronics</x:v>
      </x:c>
      <x:c r="I10" t="str">
        <x:v>25.94</x:v>
      </x:c>
      <x:c r="J10" t="str">
        <x:v>paid</x:v>
      </x:c>
    </x:row>
    <x:row r="11">
      <x:c r="A11" t="str">
        <x:v>ORD-1007</x:v>
      </x:c>
      <x:c r="B11" t="str">
        <x:v>Irina Popova</x:v>
      </x:c>
      <x:c r="C11" t="str">
        <x:v>irina.popova7@gmail.com</x:v>
      </x:c>
      <x:c r="D11" t="str">
        <x:v>(+372) 566 4168</x:v>
      </x:c>
      <x:c r="E11" t="str">
        <x:v>Helsinki</x:v>
      </x:c>
      <x:c r="F11" t="str">
        <x:v>07/04/2026</x:v>
      </x:c>
      <x:c r="G11" t="str">
        <x:v>Wireless Mouse</x:v>
      </x:c>
      <x:c r="H11" t="str">
        <x:v>Electronics</x:v>
      </x:c>
      <x:c r="I11" t="str">
        <x:v>€138.94</x:v>
      </x:c>
      <x:c r="J11" t="str">
        <x:v>PAID</x:v>
      </x:c>
    </x:row>
    <x:row r="12">
      <x:c r="A12" t="str">
        <x:v>ORD-1008</x:v>
      </x:c>
      <x:c r="B12" t="str">
        <x:v>Nina Volkova</x:v>
      </x:c>
      <x:c r="C12" t="str">
        <x:v>nina.volkova8@mail.com</x:v>
      </x:c>
      <x:c r="D12" t="str">
        <x:v>+372-552-7135</x:v>
      </x:c>
      <x:c r="E12" t="str">
        <x:v>Tallinn</x:v>
      </x:c>
      <x:c r="F12" t="str">
        <x:v>2026-02-20</x:v>
      </x:c>
      <x:c r="G12" t="str">
        <x:v>Water Bottle</x:v>
      </x:c>
      <x:c r="H12" t="str">
        <x:v>Sports</x:v>
      </x:c>
      <x:c r="I12" t="str">
        <x:v>76.77</x:v>
      </x:c>
      <x:c r="J12" t="str">
        <x:v>Canceled</x:v>
      </x:c>
    </x:row>
    <x:row r="13">
      <x:c r="A13" t="str">
        <x:v>ORD-1009</x:v>
      </x:c>
      <x:c r="B13" t="str">
        <x:v>Irina Popova</x:v>
      </x:c>
      <x:c r="C13" t="str">
        <x:v>irina.popova9@gmail.com</x:v>
      </x:c>
      <x:c r="D13" t="str">
        <x:v>+372 520 5084</x:v>
      </x:c>
      <x:c r="E13" t="str">
        <x:v>Tallinn</x:v>
      </x:c>
      <x:c r="F13" t="str">
        <x:v>11/05/2026</x:v>
      </x:c>
      <x:c r="G13" t="str">
        <x:v>Desk Lamp</x:v>
      </x:c>
      <x:c r="H13" t="str">
        <x:v>Home</x:v>
      </x:c>
      <x:c r="I13" t="str">
        <x:v>32.17</x:v>
      </x:c>
      <x:c r="J13" t="str">
        <x:v>Paid</x:v>
      </x:c>
    </x:row>
    <x:row r="14">
      <x:c r="A14" t="str">
        <x:v>ORD-1010</x:v>
      </x:c>
      <x:c r="B14" t="str">
        <x:v>Sofia Morozova</x:v>
      </x:c>
      <x:c r="C14" t="str">
        <x:v> SOFIA.MOROZOVA10@EXAMPLE.COM </x:v>
      </x:c>
      <x:c r="D14" t="str">
        <x:v>+372 539 2173</x:v>
      </x:c>
      <x:c r="E14" t="str">
        <x:v>Tallinn</x:v>
      </x:c>
      <x:c r="F14" t="str">
        <x:v>2026-03-15</x:v>
      </x:c>
      <x:c r="G14" t="str">
        <x:v>Coffee Beans</x:v>
      </x:c>
      <x:c r="H14" t="str">
        <x:v>Food</x:v>
      </x:c>
      <x:c r="I14" t="str">
        <x:v> 68.29 </x:v>
      </x:c>
      <x:c r="J14" t="str">
        <x:v>Paid</x:v>
      </x:c>
    </x:row>
    <x:row r="15">
      <x:c r="A15" t="str">
        <x:v>ORD-1011</x:v>
      </x:c>
      <x:c r="B15" t="str">
        <x:v>Elena Smirnova</x:v>
      </x:c>
      <x:c r="C15" t="str">
        <x:v>elena.smirnova11@gmail.com</x:v>
      </x:c>
      <x:c r="D15" t="str">
        <x:v>+372-521-0197</x:v>
      </x:c>
      <x:c r="E15" t="str">
        <x:v>warsaw</x:v>
      </x:c>
      <x:c r="F15" t="str">
        <x:v>04/04/2026</x:v>
      </x:c>
      <x:c r="G15" t="str">
        <x:v>Desk Lamp</x:v>
      </x:c>
      <x:c r="H15" t="str">
        <x:v>Home</x:v>
      </x:c>
      <x:c r="I15" t="str">
        <x:v> 153.19 </x:v>
      </x:c>
      <x:c r="J15" t="str">
        <x:v>PAID</x:v>
      </x:c>
    </x:row>
    <x:row r="16">
      <x:c r="A16" t="str">
        <x:v>ORD-1012</x:v>
      </x:c>
      <x:c r="B16" t="str">
        <x:v>Nina Volkova</x:v>
      </x:c>
      <x:c r="C16" t="str">
        <x:v>nina.volkova12@example.com</x:v>
      </x:c>
      <x:c r="D16" t="str">
        <x:v>+372-581-8743</x:v>
      </x:c>
      <x:c r="E16" t="str">
        <x:v>warsaw</x:v>
      </x:c>
      <x:c r="F16" t="str">
        <x:v>07/05/2026</x:v>
      </x:c>
      <x:c r="G16" t="str">
        <x:v>USB-C Cable</x:v>
      </x:c>
      <x:c r="H16" t="str">
        <x:v>Electronics</x:v>
      </x:c>
      <x:c r="I16" t="str">
        <x:v> 43.77 </x:v>
      </x:c>
      <x:c r="J16" t="str">
        <x:v>PAID</x:v>
      </x:c>
    </x:row>
    <x:row r="17">
      <x:c r="A17" t="str">
        <x:v>ORD-1013</x:v>
      </x:c>
      <x:c r="B17" t="str">
        <x:v>  ANNA IVANOVA </x:v>
      </x:c>
      <x:c r="C17" t="str">
        <x:v>anna.ivanova13@mail.com</x:v>
      </x:c>
      <x:c r="D17" t="str">
        <x:v>+372 511 4321</x:v>
      </x:c>
      <x:c r="E17" t="str">
        <x:v>Helsinki</x:v>
      </x:c>
      <x:c r="F17" t="str">
        <x:v>11/01/2026</x:v>
      </x:c>
      <x:c r="G17" t="str">
        <x:v>Notebook A5</x:v>
      </x:c>
      <x:c r="H17" t="str">
        <x:v>Office</x:v>
      </x:c>
      <x:c r="I17" t="str">
        <x:v>18.98</x:v>
      </x:c>
      <x:c r="J17" t="str">
        <x:v> pending</x:v>
      </x:c>
    </x:row>
    <x:row r="18">
      <x:c r="A18" t="str">
        <x:v>ORD-1014</x:v>
      </x:c>
      <x:c r="B18" t="str">
        <x:v>Daria Kuznetsova</x:v>
      </x:c>
      <x:c r="C18" t="str">
        <x:v>daria.kuznetsova14@gmail.com</x:v>
      </x:c>
      <x:c r="D18" t="str">
        <x:v>(+372) 516 1532</x:v>
      </x:c>
      <x:c r="E18" t="str">
        <x:v>Tallinn</x:v>
      </x:c>
      <x:c r="F18" t="str">
        <x:v>2026-04-19</x:v>
      </x:c>
      <x:c r="G18" t="str">
        <x:v>Notebook A5</x:v>
      </x:c>
      <x:c r="H18" t="str">
        <x:v>Office</x:v>
      </x:c>
      <x:c r="I18" t="str">
        <x:v>€4.24</x:v>
      </x:c>
      <x:c r="J18" t="str">
        <x:v> pending</x:v>
      </x:c>
    </x:row>
    <x:row r="19">
      <x:c r="A19" t="str">
        <x:v>ORD-1015</x:v>
      </x:c>
      <x:c r="B19" t="str">
        <x:v>Irina Popova</x:v>
      </x:c>
      <x:c r="C19" t="str">
        <x:v> IRINA.POPOVA15@GMAIL.COM </x:v>
      </x:c>
      <x:c r="D19" t="str">
        <x:v>+372-513-8838</x:v>
      </x:c>
      <x:c r="E19" t="str">
        <x:v>Helsinki</x:v>
      </x:c>
      <x:c r="F19" t="str">
        <x:v>03/04/2026</x:v>
      </x:c>
      <x:c r="G19" t="str">
        <x:v>Desk Lamp</x:v>
      </x:c>
      <x:c r="H19" t="str">
        <x:v>Home</x:v>
      </x:c>
      <x:c r="I19" t="str">
        <x:v> 64.15 </x:v>
      </x:c>
      <x:c r="J19" t="str">
        <x:v>PAID</x:v>
      </x:c>
    </x:row>
    <x:row r="20">
      <x:c r="A20" t="str">
        <x:v>ORD-1016</x:v>
      </x:c>
      <x:c r="B20" t="str">
        <x:v>Sofia Morozova</x:v>
      </x:c>
      <x:c r="C20" t="str">
        <x:v>sofia.morozova16@example.com</x:v>
      </x:c>
      <x:c r="D20" t="str">
        <x:v>(+372) 550 1820</x:v>
      </x:c>
      <x:c r="E20" t="str">
        <x:v>warsaw</x:v>
      </x:c>
      <x:c r="F20" t="str">
        <x:v>07/01/2026</x:v>
      </x:c>
      <x:c r="G20" t="str">
        <x:v>USB-C Cable</x:v>
      </x:c>
      <x:c r="H20" t="str">
        <x:v>Electronics</x:v>
      </x:c>
      <x:c r="I20" t="str">
        <x:v> 41.19 </x:v>
      </x:c>
      <x:c r="J20" t="str">
        <x:v>cancelled</x:v>
      </x:c>
    </x:row>
    <x:row r="21">
      <x:c r="A21" t="str">
        <x:v>ORD-1017</x:v>
      </x:c>
      <x:c r="B21" t="str">
        <x:v>  MARIA PETROVA </x:v>
      </x:c>
      <x:c r="C21" t="str">
        <x:v> MARIA.PETROVA17@EXAMPLE.COM </x:v>
      </x:c>
      <x:c r="D21" t="str">
        <x:v>(+372) 515 6883</x:v>
      </x:c>
      <x:c r="E21" t="str">
        <x:v>helsinki</x:v>
      </x:c>
      <x:c r="F21" t="str">
        <x:v>02-18-2026</x:v>
      </x:c>
      <x:c r="G21" t="str">
        <x:v>Desk Lamp</x:v>
      </x:c>
      <x:c r="H21" t="str">
        <x:v>Home</x:v>
      </x:c>
      <x:c r="I21" t="str">
        <x:v>89,34</x:v>
      </x:c>
      <x:c r="J21" t="str">
        <x:v>REFUNDED</x:v>
      </x:c>
    </x:row>
    <x:row r="22">
      <x:c r="A22" t="str">
        <x:v>ORD-1018</x:v>
      </x:c>
      <x:c r="B22" t="str">
        <x:v>  ANNA IVANOVA </x:v>
      </x:c>
      <x:c r="C22" t="str">
        <x:v>anna.ivanova18@gmail.com</x:v>
      </x:c>
      <x:c r="D22" t="str">
        <x:v>+372 576 4868</x:v>
      </x:c>
      <x:c r="E22" t="str">
        <x:v>Warsaw</x:v>
      </x:c>
      <x:c r="F22" t="str">
        <x:v>2026-02-17</x:v>
      </x:c>
      <x:c r="G22" t="str">
        <x:v>Notebook A5</x:v>
      </x:c>
      <x:c r="H22" t="str">
        <x:v>Office</x:v>
      </x:c>
      <x:c r="I22" t="str">
        <x:v>€4.27</x:v>
      </x:c>
      <x:c r="J22" t="str">
        <x:v> pending</x:v>
      </x:c>
    </x:row>
    <x:row r="23">
      <x:c r="A23" t="str">
        <x:v>ORD-1019</x:v>
      </x:c>
      <x:c r="B23" t="str">
        <x:v>Alina Fedorova</x:v>
      </x:c>
      <x:c r="C23" t="str">
        <x:v> ALINA.FEDOROVA19@GMAIL.COM </x:v>
      </x:c>
      <x:c r="D23" t="str">
        <x:v>(+372) 571 7715</x:v>
      </x:c>
      <x:c r="E23" t="str">
        <x:v>tallinn</x:v>
      </x:c>
      <x:c r="F23" t="str">
        <x:v>2026-05-11</x:v>
      </x:c>
      <x:c r="G23" t="str">
        <x:v>USB-C Cable</x:v>
      </x:c>
      <x:c r="H23" t="str">
        <x:v>Electronics</x:v>
      </x:c>
      <x:c r="I23" t="str">
        <x:v>43,75</x:v>
      </x:c>
      <x:c r="J23" t="str">
        <x:v>PAID</x:v>
      </x:c>
    </x:row>
    <x:row r="24">
      <x:c r="A24" t="str">
        <x:v>ORD-1020</x:v>
      </x:c>
      <x:c r="B24" t="str">
        <x:v>Irina Popova</x:v>
      </x:c>
      <x:c r="C24" t="str">
        <x:v> IRINA.POPOVA20@EXAMPLE.COM </x:v>
      </x:c>
      <x:c r="D24" t="str">
        <x:v>+372-583-0743</x:v>
      </x:c>
      <x:c r="E24" t="str">
        <x:v>Warsaw</x:v>
      </x:c>
      <x:c r="F24" t="str">
        <x:v>2026-04-04</x:v>
      </x:c>
      <x:c r="G24" t="str">
        <x:v>Desk Lamp</x:v>
      </x:c>
      <x:c r="H24" t="str">
        <x:v>Home</x:v>
      </x:c>
      <x:c r="I24" t="str">
        <x:v>28,82</x:v>
      </x:c>
      <x:c r="J24" t="str">
        <x:v>Pending </x:v>
      </x:c>
    </x:row>
    <x:row r="25">
      <x:c r="A25" t="str">
        <x:v>ORD-1021</x:v>
      </x:c>
      <x:c r="B25" t="str">
        <x:v>Sofia Morozova</x:v>
      </x:c>
      <x:c r="C25" t="str">
        <x:v>sofia.morozova21@mail.com</x:v>
      </x:c>
      <x:c r="D25" t="str">
        <x:v>+372 512 6959</x:v>
      </x:c>
      <x:c r="E25" t="str">
        <x:v>Helsinki</x:v>
      </x:c>
      <x:c r="F25" t="str">
        <x:v>08/04/2026</x:v>
      </x:c>
      <x:c r="G25" t="str">
        <x:v>Wireless Mouse</x:v>
      </x:c>
      <x:c r="H25" t="str">
        <x:v>Electronics</x:v>
      </x:c>
      <x:c r="I25" t="str">
        <x:v>€104.41</x:v>
      </x:c>
      <x:c r="J25" t="str">
        <x:v>PAID</x:v>
      </x:c>
    </x:row>
    <x:row r="26">
      <x:c r="A26" t="str">
        <x:v>ORD-1022</x:v>
      </x:c>
      <x:c r="B26" t="str">
        <x:v>Elena Smirnova</x:v>
      </x:c>
      <x:c r="C26" t="str">
        <x:v>elena.smirnova22@example.com</x:v>
      </x:c>
      <x:c r="D26" t="str">
        <x:v>+372-551-6262</x:v>
      </x:c>
      <x:c r="E26" t="str">
        <x:v>Riga</x:v>
      </x:c>
      <x:c r="F26" t="str">
        <x:v>05-08-2026</x:v>
      </x:c>
      <x:c r="G26" t="str">
        <x:v>Desk Lamp</x:v>
      </x:c>
      <x:c r="H26" t="str">
        <x:v>Home</x:v>
      </x:c>
      <x:c r="I26" t="str">
        <x:v>€96.57</x:v>
      </x:c>
      <x:c r="J26" t="str">
        <x:v>PAID</x:v>
      </x:c>
    </x:row>
    <x:row r="27">
      <x:c r="A27" t="str">
        <x:v>ORD-1023</x:v>
      </x:c>
      <x:c r="B27" t="str">
        <x:v>Maria Petrova</x:v>
      </x:c>
      <x:c r="C27" t="str">
        <x:v> MARIA.PETROVA23@MAIL.COM </x:v>
      </x:c>
      <x:c r="D27" t="str">
        <x:v>+372 579 3179</x:v>
      </x:c>
      <x:c r="E27" t="str">
        <x:v>Vilnius</x:v>
      </x:c>
      <x:c r="F27" t="str">
        <x:v>01-25-2026</x:v>
      </x:c>
      <x:c r="G27" t="str">
        <x:v>Coffee Beans</x:v>
      </x:c>
      <x:c r="H27" t="str">
        <x:v>Food</x:v>
      </x:c>
      <x:c r="I27" t="str">
        <x:v>€53.15</x:v>
      </x:c>
      <x:c r="J27" t="str">
        <x:v>cancelled</x:v>
      </x:c>
    </x:row>
    <x:row r="28">
      <x:c r="A28" t="str">
        <x:v>ORD-1024</x:v>
      </x:c>
      <x:c r="B28" t="str">
        <x:v>Sofia Morozova</x:v>
      </x:c>
      <x:c r="C28" t="str">
        <x:v>sofia.morozova24@example.com</x:v>
      </x:c>
      <x:c r="D28" t="str">
        <x:v>+372-510-4348</x:v>
      </x:c>
      <x:c r="E28" t="str">
        <x:v>riga</x:v>
      </x:c>
      <x:c r="F28" t="str">
        <x:v>2026-05-04</x:v>
      </x:c>
      <x:c r="G28" t="str">
        <x:v>Coffee Beans</x:v>
      </x:c>
      <x:c r="H28" t="str">
        <x:v>Food</x:v>
      </x:c>
      <x:c r="I28" t="str">
        <x:v>€66.12</x:v>
      </x:c>
      <x:c r="J28" t="str">
        <x:v>PAID</x:v>
      </x:c>
    </x:row>
    <x:row r="29">
      <x:c r="A29" t="str">
        <x:v>ORD-1025</x:v>
      </x:c>
      <x:c r="B29" t="str">
        <x:v>Maria Petrova</x:v>
      </x:c>
      <x:c r="C29" t="str">
        <x:v> MARIA.PETROVA25@GMAIL.COM </x:v>
      </x:c>
      <x:c r="D29" t="str">
        <x:v>(+372) 597 8933</x:v>
      </x:c>
      <x:c r="E29" t="str">
        <x:v>Tartu</x:v>
      </x:c>
      <x:c r="F29" t="str">
        <x:v>10/03/2026</x:v>
      </x:c>
      <x:c r="G29" t="str">
        <x:v>Water Bottle</x:v>
      </x:c>
      <x:c r="H29" t="str">
        <x:v>Sports</x:v>
      </x:c>
      <x:c r="I29" t="str">
        <x:v>80,15</x:v>
      </x:c>
      <x:c r="J29" t="str">
        <x:v>paid</x:v>
      </x:c>
    </x:row>
    <x:row r="30">
      <x:c r="A30" t="str">
        <x:v>ORD-1026</x:v>
      </x:c>
      <x:c r="B30" t="str">
        <x:v>Alina Fedorova</x:v>
      </x:c>
      <x:c r="C30" t="str">
        <x:v>alina.fedorova26@example.com</x:v>
      </x:c>
      <x:c r="D30" t="str">
        <x:v>(+372) 547 5216</x:v>
      </x:c>
      <x:c r="E30" t="str">
        <x:v>tartu</x:v>
      </x:c>
      <x:c r="F30" t="str">
        <x:v>01-29-2026</x:v>
      </x:c>
      <x:c r="G30" t="str">
        <x:v>Notebook A5</x:v>
      </x:c>
      <x:c r="H30" t="str">
        <x:v>Office</x:v>
      </x:c>
      <x:c r="I30" t="str">
        <x:v> 19.8 </x:v>
      </x:c>
      <x:c r="J30" t="str">
        <x:v> pending</x:v>
      </x:c>
    </x:row>
    <x:row r="31">
      <x:c r="A31" t="str">
        <x:v>ORD-1027</x:v>
      </x:c>
      <x:c r="B31" t="str">
        <x:v>  IRINA POPOVA </x:v>
      </x:c>
      <x:c r="C31" t="str">
        <x:v> IRINA.POPOVA27@EXAMPLE.COM </x:v>
      </x:c>
      <x:c r="D31" t="str">
        <x:v>(+372) 533 4980</x:v>
      </x:c>
      <x:c r="E31" t="str">
        <x:v>Helsinki</x:v>
      </x:c>
      <x:c r="F31" t="str">
        <x:v>04-29-2026</x:v>
      </x:c>
      <x:c r="G31" t="str">
        <x:v>Notebook A5</x:v>
      </x:c>
      <x:c r="H31" t="str">
        <x:v>Office</x:v>
      </x:c>
      <x:c r="I31" t="str">
        <x:v> 12.58 </x:v>
      </x:c>
      <x:c r="J31" t="str">
        <x:v>Canceled</x:v>
      </x:c>
    </x:row>
    <x:row r="32">
      <x:c r="A32" t="str">
        <x:v>ORD-1028</x:v>
      </x:c>
      <x:c r="B32" t="str">
        <x:v>  IRINA POPOVA </x:v>
      </x:c>
      <x:c r="C32" t="str">
        <x:v> IRINA.POPOVA28@MAIL.COM </x:v>
      </x:c>
      <x:c r="D32" t="str">
        <x:v>(+372) 561 1115</x:v>
      </x:c>
      <x:c r="E32" t="str">
        <x:v>riga</x:v>
      </x:c>
      <x:c r="F32" t="str">
        <x:v>05-16-2026</x:v>
      </x:c>
      <x:c r="G32" t="str">
        <x:v>Wireless Mouse</x:v>
      </x:c>
      <x:c r="H32" t="str">
        <x:v>Electronics</x:v>
      </x:c>
      <x:c r="I32" t="str">
        <x:v>€25.59</x:v>
      </x:c>
      <x:c r="J32" t="str">
        <x:v>cancelled</x:v>
      </x:c>
    </x:row>
    <x:row r="33">
      <x:c r="A33" t="str">
        <x:v>ORD-1029</x:v>
      </x:c>
      <x:c r="B33" t="str">
        <x:v>Elena Smirnova</x:v>
      </x:c>
      <x:c r="C33" t="str">
        <x:v>elena.smirnova29@mail.com</x:v>
      </x:c>
      <x:c r="D33" t="str">
        <x:v>+372 522 3304</x:v>
      </x:c>
      <x:c r="E33" t="str">
        <x:v>Riga</x:v>
      </x:c>
      <x:c r="F33" t="str">
        <x:v>03-13-2026</x:v>
      </x:c>
      <x:c r="G33" t="str">
        <x:v>USB-C Cable</x:v>
      </x:c>
      <x:c r="H33" t="str">
        <x:v>Electronics</x:v>
      </x:c>
      <x:c r="I33" t="str">
        <x:v>40,92</x:v>
      </x:c>
      <x:c r="J33" t="str">
        <x:v>cancelled</x:v>
      </x:c>
    </x:row>
    <x:row r="34">
      <x:c r="A34" t="str">
        <x:v>ORD-1030</x:v>
      </x:c>
      <x:c r="B34" t="str">
        <x:v>Nina Volkova</x:v>
      </x:c>
      <x:c r="C34" t="str">
        <x:v>nina.volkova30@gmail.com</x:v>
      </x:c>
      <x:c r="D34" t="str">
        <x:v>+372-554-4231</x:v>
      </x:c>
      <x:c r="E34" t="str">
        <x:v>Vilnius</x:v>
      </x:c>
      <x:c r="F34" t="str">
        <x:v>23/05/2026</x:v>
      </x:c>
      <x:c r="G34" t="str">
        <x:v>Premium Tea</x:v>
      </x:c>
      <x:c r="H34" t="str">
        <x:v>Food</x:v>
      </x:c>
      <x:c r="I34" t="str">
        <x:v>31,17</x:v>
      </x:c>
      <x:c r="J34" t="str">
        <x:v>cancelled</x:v>
      </x:c>
    </x:row>
    <x:row r="35">
      <x:c r="A35" t="str">
        <x:v>ORD-1031</x:v>
      </x:c>
      <x:c r="B35" t="str">
        <x:v>Nina Volkova</x:v>
      </x:c>
      <x:c r="C35" t="str">
        <x:v>nina.volkova31@mail.com</x:v>
      </x:c>
      <x:c r="D35" t="str">
        <x:v>+372-590-7450</x:v>
      </x:c>
      <x:c r="E35" t="str">
        <x:v>Tartu</x:v>
      </x:c>
      <x:c r="F35" t="str">
        <x:v>05-02-2026</x:v>
      </x:c>
      <x:c r="G35" t="str">
        <x:v>Yoga Mat</x:v>
      </x:c>
      <x:c r="H35" t="str">
        <x:v>Sports</x:v>
      </x:c>
      <x:c r="I35" t="str">
        <x:v>64.02</x:v>
      </x:c>
      <x:c r="J35" t="str">
        <x:v>Pending </x:v>
      </x:c>
    </x:row>
    <x:row r="36">
      <x:c r="A36" t="str">
        <x:v>ORD-1032</x:v>
      </x:c>
      <x:c r="B36" t="str">
        <x:v>Olga Sokolova</x:v>
      </x:c>
      <x:c r="C36" t="str">
        <x:v>olga.sokolova32@mail.com</x:v>
      </x:c>
      <x:c r="D36" t="str">
        <x:v>+372 576 6489</x:v>
      </x:c>
      <x:c r="E36" t="str">
        <x:v>Helsinki</x:v>
      </x:c>
      <x:c r="F36" t="str">
        <x:v>23/05/2026</x:v>
      </x:c>
      <x:c r="G36" t="str">
        <x:v>Wireless Mouse</x:v>
      </x:c>
      <x:c r="H36" t="str">
        <x:v>Electronics</x:v>
      </x:c>
      <x:c r="I36" t="str">
        <x:v>48,31</x:v>
      </x:c>
      <x:c r="J36" t="str">
        <x:v>Paid</x:v>
      </x:c>
    </x:row>
    <x:row r="37">
      <x:c r="A37" t="str">
        <x:v>ORD-1033</x:v>
      </x:c>
      <x:c r="B37" t="str">
        <x:v>Alina Fedorova</x:v>
      </x:c>
      <x:c r="C37" t="str">
        <x:v>alina.fedorova33@gmail.com</x:v>
      </x:c>
      <x:c r="D37" t="str">
        <x:v>(+372) 564 8506</x:v>
      </x:c>
      <x:c r="E37" t="str">
        <x:v>Vilnius</x:v>
      </x:c>
      <x:c r="F37" t="str">
        <x:v>02-21-2026</x:v>
      </x:c>
      <x:c r="G37" t="str">
        <x:v>Water Bottle</x:v>
      </x:c>
      <x:c r="H37" t="str">
        <x:v>Sports</x:v>
      </x:c>
      <x:c r="I37" t="str">
        <x:v>17,35</x:v>
      </x:c>
      <x:c r="J37" t="str">
        <x:v>Paid</x:v>
      </x:c>
    </x:row>
    <x:row r="38">
      <x:c r="A38" t="str">
        <x:v>ORD-1034</x:v>
      </x:c>
      <x:c r="B38" t="str">
        <x:v>  NINA VOLKOVA </x:v>
      </x:c>
      <x:c r="C38" t="str">
        <x:v>nina.volkova34@gmail.com</x:v>
      </x:c>
      <x:c r="D38" t="str">
        <x:v>+372-527-5627</x:v>
      </x:c>
      <x:c r="E38" t="str">
        <x:v>Warsaw</x:v>
      </x:c>
      <x:c r="F38" t="str">
        <x:v>16/02/2026</x:v>
      </x:c>
      <x:c r="G38" t="str">
        <x:v>Water Bottle</x:v>
      </x:c>
      <x:c r="H38" t="str">
        <x:v>Sports</x:v>
      </x:c>
      <x:c r="I38" t="str">
        <x:v> 87.7 </x:v>
      </x:c>
      <x:c r="J38" t="str">
        <x:v>REFUNDED</x:v>
      </x:c>
    </x:row>
    <x:row r="39">
      <x:c r="A39" t="str">
        <x:v>ORD-1035</x:v>
      </x:c>
      <x:c r="B39" t="str">
        <x:v>  ELENA SMIRNOVA </x:v>
      </x:c>
      <x:c r="C39" t="str">
        <x:v>elena.smirnova35@mail.com</x:v>
      </x:c>
      <x:c r="D39" t="str">
        <x:v>+372-580-5264</x:v>
      </x:c>
      <x:c r="E39" t="str">
        <x:v>Warsaw</x:v>
      </x:c>
      <x:c r="F39" t="str">
        <x:v>04/01/2026</x:v>
      </x:c>
      <x:c r="G39" t="str">
        <x:v>Coffee Beans</x:v>
      </x:c>
      <x:c r="H39" t="str">
        <x:v>Food</x:v>
      </x:c>
      <x:c r="I39" t="str">
        <x:v>39,25</x:v>
      </x:c>
      <x:c r="J39" t="str">
        <x:v>Canceled</x:v>
      </x:c>
    </x:row>
    <x:row r="40">
      <x:c r="A40" t="str">
        <x:v>ORD-1036</x:v>
      </x:c>
      <x:c r="B40" t="str">
        <x:v>  ELENA SMIRNOVA </x:v>
      </x:c>
      <x:c r="C40" t="str">
        <x:v>elena.smirnova36@mail.com</x:v>
      </x:c>
      <x:c r="D40" t="str">
        <x:v>+372 562 8903</x:v>
      </x:c>
      <x:c r="E40" t="str">
        <x:v>tartu</x:v>
      </x:c>
      <x:c r="F40" t="str">
        <x:v>01-06-2026</x:v>
      </x:c>
      <x:c r="G40" t="str">
        <x:v>Wireless Mouse</x:v>
      </x:c>
      <x:c r="H40" t="str">
        <x:v>Electronics</x:v>
      </x:c>
      <x:c r="I40" t="str">
        <x:v>€71.69</x:v>
      </x:c>
      <x:c r="J40" t="str">
        <x:v>cancelled</x:v>
      </x:c>
    </x:row>
    <x:row r="41">
      <x:c r="A41" t="str">
        <x:v>ORD-1037</x:v>
      </x:c>
      <x:c r="B41" t="str">
        <x:v>Nina Volkova</x:v>
      </x:c>
      <x:c r="C41" t="str">
        <x:v>nina.volkova37@gmail.com</x:v>
      </x:c>
      <x:c r="D41" t="str">
        <x:v>(+372) 558 4210</x:v>
      </x:c>
      <x:c r="E41" t="str">
        <x:v>Riga</x:v>
      </x:c>
      <x:c r="F41" t="str">
        <x:v>02-17-2026</x:v>
      </x:c>
      <x:c r="G41" t="str">
        <x:v>Wireless Mouse</x:v>
      </x:c>
      <x:c r="H41" t="str">
        <x:v>Electronics</x:v>
      </x:c>
      <x:c r="I41" t="str">
        <x:v> 83.25 </x:v>
      </x:c>
      <x:c r="J41" t="str">
        <x:v>Paid</x:v>
      </x:c>
    </x:row>
    <x:row r="42">
      <x:c r="A42" t="str">
        <x:v>ORD-1038</x:v>
      </x:c>
      <x:c r="B42" t="str">
        <x:v>  ALINA FEDOROVA </x:v>
      </x:c>
      <x:c r="C42" t="str">
        <x:v> ALINA.FEDOROVA38@GMAIL.COM </x:v>
      </x:c>
      <x:c r="D42" t="str">
        <x:v>+372 512 4137</x:v>
      </x:c>
      <x:c r="E42" t="str">
        <x:v>Warsaw</x:v>
      </x:c>
      <x:c r="F42" t="str">
        <x:v>2026-02-27</x:v>
      </x:c>
      <x:c r="G42" t="str">
        <x:v>Yoga Mat</x:v>
      </x:c>
      <x:c r="H42" t="str">
        <x:v>Sports</x:v>
      </x:c>
      <x:c r="I42" t="str">
        <x:v>66.34</x:v>
      </x:c>
      <x:c r="J42" t="str">
        <x:v>Pending </x:v>
      </x:c>
    </x:row>
    <x:row r="43">
      <x:c r="A43" t="str">
        <x:v>ORD-1039</x:v>
      </x:c>
      <x:c r="B43" t="str">
        <x:v>Maria Petrova</x:v>
      </x:c>
      <x:c r="C43" t="str">
        <x:v>maria.petrova39@mail.com</x:v>
      </x:c>
      <x:c r="D43" t="str">
        <x:v>+372-555-2769</x:v>
      </x:c>
      <x:c r="E43" t="str">
        <x:v>Tallinn</x:v>
      </x:c>
      <x:c r="F43" t="str">
        <x:v>03-07-2026</x:v>
      </x:c>
      <x:c r="G43" t="str">
        <x:v>Premium Tea</x:v>
      </x:c>
      <x:c r="H43" t="str">
        <x:v>Food</x:v>
      </x:c>
      <x:c r="I43" t="str">
        <x:v>21,31</x:v>
      </x:c>
      <x:c r="J43" t="str">
        <x:v>cancelled</x:v>
      </x:c>
    </x:row>
    <x:row r="44">
      <x:c r="A44" t="str">
        <x:v>ORD-1040</x:v>
      </x:c>
      <x:c r="B44" t="str">
        <x:v>  KATE BROWN </x:v>
      </x:c>
      <x:c r="C44" t="str">
        <x:v>kate.brown40@example.com</x:v>
      </x:c>
      <x:c r="D44" t="str">
        <x:v>+372 552 7021</x:v>
      </x:c>
      <x:c r="E44" t="str">
        <x:v>riga</x:v>
      </x:c>
      <x:c r="F44" t="str">
        <x:v>21/01/2026</x:v>
      </x:c>
      <x:c r="G44" t="str">
        <x:v>Wireless Mouse</x:v>
      </x:c>
      <x:c r="H44" t="str">
        <x:v>Electronics</x:v>
      </x:c>
      <x:c r="I44" t="str">
        <x:v> 125.44 </x:v>
      </x:c>
      <x:c r="J44" t="str">
        <x:v> pending</x:v>
      </x:c>
    </x:row>
    <x:row r="45">
      <x:c r="A45" t="str">
        <x:v>ORD-1041</x:v>
      </x:c>
      <x:c r="B45" t="str">
        <x:v>Sofia Morozova</x:v>
      </x:c>
      <x:c r="C45" t="str">
        <x:v>sofia.morozova41@gmail.com</x:v>
      </x:c>
      <x:c r="D45" t="str">
        <x:v>+372 537 3982</x:v>
      </x:c>
      <x:c r="E45" t="str">
        <x:v>Tallinn</x:v>
      </x:c>
      <x:c r="F45" t="str">
        <x:v>26/04/2026</x:v>
      </x:c>
      <x:c r="G45" t="str">
        <x:v>Coffee Beans</x:v>
      </x:c>
      <x:c r="H45" t="str">
        <x:v>Food</x:v>
      </x:c>
      <x:c r="I45" t="str">
        <x:v>63.35</x:v>
      </x:c>
      <x:c r="J45" t="str">
        <x:v>paid</x:v>
      </x:c>
    </x:row>
    <x:row r="46">
      <x:c r="A46" t="str">
        <x:v>ORD-1042</x:v>
      </x:c>
      <x:c r="B46" t="str">
        <x:v>  ELENA SMIRNOVA </x:v>
      </x:c>
      <x:c r="C46" t="str">
        <x:v> ELENA.SMIRNOVA42@GMAIL.COM </x:v>
      </x:c>
      <x:c r="D46" t="str">
        <x:v>+372 552 1447</x:v>
      </x:c>
      <x:c r="E46" t="str">
        <x:v>Warsaw</x:v>
      </x:c>
      <x:c r="F46" t="str">
        <x:v>2026-02-27</x:v>
      </x:c>
      <x:c r="G46" t="str">
        <x:v>Coffee Beans</x:v>
      </x:c>
      <x:c r="H46" t="str">
        <x:v>Food</x:v>
      </x:c>
      <x:c r="I46" t="str">
        <x:v> 14.0 </x:v>
      </x:c>
      <x:c r="J46" t="str">
        <x:v>paid</x:v>
      </x:c>
    </x:row>
    <x:row r="47">
      <x:c r="A47" t="str">
        <x:v>ORD-1043</x:v>
      </x:c>
      <x:c r="B47" t="str">
        <x:v>  ELENA SMIRNOVA </x:v>
      </x:c>
      <x:c r="C47" t="str">
        <x:v> ELENA.SMIRNOVA43@GMAIL.COM </x:v>
      </x:c>
      <x:c r="D47" t="str">
        <x:v>+372 511 6971</x:v>
      </x:c>
      <x:c r="E47" t="str">
        <x:v>Vilnius</x:v>
      </x:c>
      <x:c r="F47" t="str">
        <x:v>2026-04-28</x:v>
      </x:c>
      <x:c r="G47" t="str">
        <x:v>Desk Lamp</x:v>
      </x:c>
      <x:c r="H47" t="str">
        <x:v>Home</x:v>
      </x:c>
      <x:c r="I47" t="str">
        <x:v>145,13</x:v>
      </x:c>
      <x:c r="J47" t="str">
        <x:v>paid</x:v>
      </x:c>
    </x:row>
    <x:row r="48">
      <x:c r="A48" t="str">
        <x:v>ORD-1044</x:v>
      </x:c>
      <x:c r="B48" t="str">
        <x:v>Olga Sokolova</x:v>
      </x:c>
      <x:c r="C48" t="str">
        <x:v>olga.sokolova44@example.com</x:v>
      </x:c>
      <x:c r="D48" t="str">
        <x:v>(+372) 562 1662</x:v>
      </x:c>
      <x:c r="E48" t="str">
        <x:v>helsinki</x:v>
      </x:c>
      <x:c r="F48" t="str">
        <x:v>02-09-2026</x:v>
      </x:c>
      <x:c r="G48" t="str">
        <x:v>Yoga Mat</x:v>
      </x:c>
      <x:c r="H48" t="str">
        <x:v>Sports</x:v>
      </x:c>
      <x:c r="I48" t="str">
        <x:v>€132.56</x:v>
      </x:c>
      <x:c r="J48" t="str">
        <x:v>REFUNDED</x:v>
      </x:c>
    </x:row>
    <x:row r="49">
      <x:c r="A49" t="str">
        <x:v>ORD-1045</x:v>
      </x:c>
      <x:c r="B49" t="str">
        <x:v>Sofia Morozova</x:v>
      </x:c>
      <x:c r="C49" t="str">
        <x:v>sofia.morozova45@example.com</x:v>
      </x:c>
      <x:c r="D49" t="str">
        <x:v>+372-514-2116</x:v>
      </x:c>
      <x:c r="E49" t="str">
        <x:v>Riga</x:v>
      </x:c>
      <x:c r="F49" t="str">
        <x:v>01-24-2026</x:v>
      </x:c>
      <x:c r="G49" t="str">
        <x:v>USB-C Cable</x:v>
      </x:c>
      <x:c r="H49" t="str">
        <x:v>Electronics</x:v>
      </x:c>
      <x:c r="I49" t="str">
        <x:v>42.68</x:v>
      </x:c>
      <x:c r="J49" t="str">
        <x:v>Pending </x:v>
      </x:c>
    </x:row>
    <x:row r="50">
      <x:c r="A50" t="str">
        <x:v>ORD-1046</x:v>
      </x:c>
      <x:c r="B50" t="str">
        <x:v>  ELENA SMIRNOVA </x:v>
      </x:c>
      <x:c r="C50" t="str">
        <x:v>elena.smirnova46@example.com</x:v>
      </x:c>
      <x:c r="D50" t="str">
        <x:v>+372 532 4181</x:v>
      </x:c>
      <x:c r="E50" t="str">
        <x:v>Helsinki</x:v>
      </x:c>
      <x:c r="F50" t="str">
        <x:v>05-09-2026</x:v>
      </x:c>
      <x:c r="G50" t="str">
        <x:v>Wireless Mouse</x:v>
      </x:c>
      <x:c r="H50" t="str">
        <x:v>Electronics</x:v>
      </x:c>
      <x:c r="I50" t="str">
        <x:v>102,38</x:v>
      </x:c>
      <x:c r="J50" t="str">
        <x:v>REFUNDED</x:v>
      </x:c>
    </x:row>
    <x:row r="51">
      <x:c r="A51" t="str">
        <x:v>ORD-1047</x:v>
      </x:c>
      <x:c r="B51" t="str">
        <x:v>Alina Fedorova</x:v>
      </x:c>
      <x:c r="C51" t="str">
        <x:v> ALINA.FEDOROVA47@GMAIL.COM </x:v>
      </x:c>
      <x:c r="D51" t="str">
        <x:v>+372 595 0549</x:v>
      </x:c>
      <x:c r="E51" t="str">
        <x:v>Tallinn</x:v>
      </x:c>
      <x:c r="F51" t="str">
        <x:v>03-24-2026</x:v>
      </x:c>
      <x:c r="G51" t="str">
        <x:v>Wireless Mouse</x:v>
      </x:c>
      <x:c r="H51" t="str">
        <x:v>Electronics</x:v>
      </x:c>
      <x:c r="I51" t="str">
        <x:v>€91.8</x:v>
      </x:c>
      <x:c r="J51" t="str">
        <x:v>cancelled</x:v>
      </x:c>
    </x:row>
    <x:row r="52">
      <x:c r="A52" t="str">
        <x:v>ORD-1048</x:v>
      </x:c>
      <x:c r="B52" t="str">
        <x:v>Sofia Morozova</x:v>
      </x:c>
      <x:c r="C52" t="str">
        <x:v>sofia.morozova48@gmail.com</x:v>
      </x:c>
      <x:c r="D52" t="str">
        <x:v>(+372) 527 3983</x:v>
      </x:c>
      <x:c r="E52" t="str">
        <x:v>warsaw</x:v>
      </x:c>
      <x:c r="F52" t="str">
        <x:v>03-25-2026</x:v>
      </x:c>
      <x:c r="G52" t="str">
        <x:v>Notebook A5</x:v>
      </x:c>
      <x:c r="H52" t="str">
        <x:v>Office</x:v>
      </x:c>
      <x:c r="I52" t="str">
        <x:v>€14.21</x:v>
      </x:c>
      <x:c r="J52" t="str">
        <x:v>paid</x:v>
      </x:c>
    </x:row>
    <x:row r="53">
      <x:c r="A53" t="str">
        <x:v>ORD-1049</x:v>
      </x:c>
      <x:c r="B53" t="str">
        <x:v>Kate Brown</x:v>
      </x:c>
      <x:c r="C53" t="str">
        <x:v>kate.brown49@mail.com</x:v>
      </x:c>
      <x:c r="D53" t="str">
        <x:v>+372-520-0056</x:v>
      </x:c>
      <x:c r="E53" t="str">
        <x:v>Warsaw</x:v>
      </x:c>
      <x:c r="F53" t="str">
        <x:v>03-26-2026</x:v>
      </x:c>
      <x:c r="G53" t="str">
        <x:v>Premium Tea</x:v>
      </x:c>
      <x:c r="H53" t="str">
        <x:v>Food</x:v>
      </x:c>
      <x:c r="I53" t="str">
        <x:v>43.75</x:v>
      </x:c>
      <x:c r="J53" t="str">
        <x:v>PAID</x:v>
      </x:c>
    </x:row>
    <x:row r="54">
      <x:c r="A54" t="str">
        <x:v>ORD-1050</x:v>
      </x:c>
      <x:c r="B54" t="str">
        <x:v>Nina Volkova</x:v>
      </x:c>
      <x:c r="C54" t="str">
        <x:v>nina.volkova50@mail.com</x:v>
      </x:c>
      <x:c r="D54" t="str">
        <x:v>+372 597 3218</x:v>
      </x:c>
      <x:c r="E54" t="str">
        <x:v>warsaw</x:v>
      </x:c>
      <x:c r="F54" t="str">
        <x:v>2026-03-26</x:v>
      </x:c>
      <x:c r="G54" t="str">
        <x:v>Wireless Mouse</x:v>
      </x:c>
      <x:c r="H54" t="str">
        <x:v>Electronics</x:v>
      </x:c>
      <x:c r="I54" t="str">
        <x:v>24,83</x:v>
      </x:c>
      <x:c r="J54" t="str">
        <x:v>Paid</x:v>
      </x:c>
    </x:row>
    <x:row r="55">
      <x:c r="A55" t="str">
        <x:v>ORD-1051</x:v>
      </x:c>
      <x:c r="B55" t="str">
        <x:v>  ELENA SMIRNOVA </x:v>
      </x:c>
      <x:c r="C55" t="str">
        <x:v>elena.smirnova51@example.com</x:v>
      </x:c>
      <x:c r="D55" t="str">
        <x:v>(+372) 544 6968</x:v>
      </x:c>
      <x:c r="E55" t="str">
        <x:v>riga</x:v>
      </x:c>
      <x:c r="F55" t="str">
        <x:v>19/04/2026</x:v>
      </x:c>
      <x:c r="G55" t="str">
        <x:v>Water Bottle</x:v>
      </x:c>
      <x:c r="H55" t="str">
        <x:v>Sports</x:v>
      </x:c>
      <x:c r="I55" t="str">
        <x:v>18,59</x:v>
      </x:c>
      <x:c r="J55" t="str">
        <x:v>REFUNDED</x:v>
      </x:c>
    </x:row>
    <x:row r="56">
      <x:c r="A56" t="str">
        <x:v>ORD-1052</x:v>
      </x:c>
      <x:c r="B56" t="str">
        <x:v>Sofia Morozova</x:v>
      </x:c>
      <x:c r="C56" t="str">
        <x:v> SOFIA.MOROZOVA52@EXAMPLE.COM </x:v>
      </x:c>
      <x:c r="D56" t="str">
        <x:v>+372-515-2890</x:v>
      </x:c>
      <x:c r="E56" t="str">
        <x:v>Riga</x:v>
      </x:c>
      <x:c r="F56" t="str">
        <x:v>2026-03-18</x:v>
      </x:c>
      <x:c r="G56" t="str">
        <x:v>Water Bottle</x:v>
      </x:c>
      <x:c r="H56" t="str">
        <x:v>Sports</x:v>
      </x:c>
      <x:c r="I56" t="str">
        <x:v>18.25</x:v>
      </x:c>
      <x:c r="J56" t="str">
        <x:v>cancelled</x:v>
      </x:c>
    </x:row>
    <x:row r="57">
      <x:c r="A57" t="str">
        <x:v>ORD-1053</x:v>
      </x:c>
      <x:c r="B57" t="str">
        <x:v>  ANNA IVANOVA </x:v>
      </x:c>
      <x:c r="C57" t="str">
        <x:v>anna.ivanova53@gmail.com</x:v>
      </x:c>
      <x:c r="D57" t="str">
        <x:v>+372 571 2405</x:v>
      </x:c>
      <x:c r="E57" t="str">
        <x:v>vilnius</x:v>
      </x:c>
      <x:c r="F57" t="str">
        <x:v>02-16-2026</x:v>
      </x:c>
      <x:c r="G57" t="str">
        <x:v>Coffee Beans</x:v>
      </x:c>
      <x:c r="H57" t="str">
        <x:v>Food</x:v>
      </x:c>
      <x:c r="I57" t="str">
        <x:v>76.1</x:v>
      </x:c>
      <x:c r="J57" t="str">
        <x:v>REFUNDED</x:v>
      </x:c>
    </x:row>
    <x:row r="58">
      <x:c r="A58" t="str">
        <x:v>ORD-1054</x:v>
      </x:c>
      <x:c r="B58" t="str">
        <x:v>Daria Kuznetsova</x:v>
      </x:c>
      <x:c r="C58" t="str">
        <x:v>daria.kuznetsova54@example.com</x:v>
      </x:c>
      <x:c r="D58" t="str">
        <x:v>+372 537 3409</x:v>
      </x:c>
      <x:c r="E58" t="str">
        <x:v>Riga</x:v>
      </x:c>
      <x:c r="F58" t="str">
        <x:v>2026-04-05</x:v>
      </x:c>
      <x:c r="G58" t="str">
        <x:v>Wireless Mouse</x:v>
      </x:c>
      <x:c r="H58" t="str">
        <x:v>Electronics</x:v>
      </x:c>
      <x:c r="I58" t="str">
        <x:v>€76.85</x:v>
      </x:c>
      <x:c r="J58" t="str">
        <x:v>Canceled</x:v>
      </x:c>
    </x:row>
    <x:row r="59">
      <x:c r="A59" t="str">
        <x:v>ORD-1055</x:v>
      </x:c>
      <x:c r="B59" t="str">
        <x:v>Alina Fedorova</x:v>
      </x:c>
      <x:c r="C59" t="str">
        <x:v> ALINA.FEDOROVA55@GMAIL.COM </x:v>
      </x:c>
      <x:c r="D59" t="str">
        <x:v>+372-584-4087</x:v>
      </x:c>
      <x:c r="E59" t="str">
        <x:v>Tallinn</x:v>
      </x:c>
      <x:c r="F59" t="str">
        <x:v>04-19-2026</x:v>
      </x:c>
      <x:c r="G59" t="str">
        <x:v>Desk Lamp</x:v>
      </x:c>
      <x:c r="H59" t="str">
        <x:v>Home</x:v>
      </x:c>
      <x:c r="I59" t="str">
        <x:v>35.25</x:v>
      </x:c>
      <x:c r="J59" t="str">
        <x:v>cancelled</x:v>
      </x:c>
    </x:row>
    <x:row r="60">
      <x:c r="A60" t="str">
        <x:v>ORD-1056</x:v>
      </x:c>
      <x:c r="B60" t="str">
        <x:v>Alina Fedorova</x:v>
      </x:c>
      <x:c r="C60" t="str">
        <x:v>alina.fedorova56@mail.com</x:v>
      </x:c>
      <x:c r="D60" t="str">
        <x:v>+372-544-1723</x:v>
      </x:c>
      <x:c r="E60" t="str">
        <x:v>Vilnius</x:v>
      </x:c>
      <x:c r="F60" t="str">
        <x:v>03-27-2026</x:v>
      </x:c>
      <x:c r="G60" t="str">
        <x:v>Premium Tea</x:v>
      </x:c>
      <x:c r="H60" t="str">
        <x:v>Food</x:v>
      </x:c>
      <x:c r="I60" t="str">
        <x:v>48.34</x:v>
      </x:c>
      <x:c r="J60" t="str">
        <x:v>REFUNDED</x:v>
      </x:c>
    </x:row>
    <x:row r="61">
      <x:c r="A61" t="str">
        <x:v>ORD-1057</x:v>
      </x:c>
      <x:c r="B61" t="str">
        <x:v>Alina Fedorova</x:v>
      </x:c>
      <x:c r="C61" t="str">
        <x:v>alina.fedorova57@example.com</x:v>
      </x:c>
      <x:c r="D61" t="str">
        <x:v>+372-517-6935</x:v>
      </x:c>
      <x:c r="E61" t="str">
        <x:v>vilnius</x:v>
      </x:c>
      <x:c r="F61" t="str">
        <x:v>2026-01-05</x:v>
      </x:c>
      <x:c r="G61" t="str">
        <x:v>Premium Tea</x:v>
      </x:c>
      <x:c r="H61" t="str">
        <x:v>Food</x:v>
      </x:c>
      <x:c r="I61" t="str">
        <x:v>56.07</x:v>
      </x:c>
      <x:c r="J61" t="str">
        <x:v>Canceled</x:v>
      </x:c>
    </x:row>
    <x:row r="62">
      <x:c r="A62" t="str">
        <x:v>ORD-1058</x:v>
      </x:c>
      <x:c r="B62" t="str">
        <x:v>Elena Smirnova</x:v>
      </x:c>
      <x:c r="C62" t="str">
        <x:v>elena.smirnova58@example.com</x:v>
      </x:c>
      <x:c r="D62" t="str">
        <x:v>+372-526-7777</x:v>
      </x:c>
      <x:c r="E62" t="str">
        <x:v>Tallinn</x:v>
      </x:c>
      <x:c r="F62" t="str">
        <x:v>2026-03-22</x:v>
      </x:c>
      <x:c r="G62" t="str">
        <x:v>Notebook A5</x:v>
      </x:c>
      <x:c r="H62" t="str">
        <x:v>Office</x:v>
      </x:c>
      <x:c r="I62" t="str">
        <x:v>10,18</x:v>
      </x:c>
      <x:c r="J62" t="str">
        <x:v>cancelled</x:v>
      </x:c>
    </x:row>
    <x:row r="63">
      <x:c r="A63" t="str">
        <x:v>ORD-1059</x:v>
      </x:c>
      <x:c r="B63" t="str">
        <x:v>Alina Fedorova</x:v>
      </x:c>
      <x:c r="C63" t="str">
        <x:v>alina.fedorova59@gmail.com</x:v>
      </x:c>
      <x:c r="D63" t="str">
        <x:v>(+372) 543 9909</x:v>
      </x:c>
      <x:c r="E63" t="str">
        <x:v>tartu</x:v>
      </x:c>
      <x:c r="F63" t="str">
        <x:v>23/05/2026</x:v>
      </x:c>
      <x:c r="G63" t="str">
        <x:v>Coffee Beans</x:v>
      </x:c>
      <x:c r="H63" t="str">
        <x:v>Food</x:v>
      </x:c>
      <x:c r="I63" t="str">
        <x:v>53.41</x:v>
      </x:c>
      <x:c r="J63" t="str">
        <x:v>Canceled</x:v>
      </x:c>
    </x:row>
    <x:row r="64">
      <x:c r="A64" t="str">
        <x:v>ORD-1060</x:v>
      </x:c>
      <x:c r="B64" t="str">
        <x:v>Olga Sokolova</x:v>
      </x:c>
      <x:c r="C64" t="str">
        <x:v> OLGA.SOKOLOVA60@MAIL.COM </x:v>
      </x:c>
      <x:c r="D64" t="str">
        <x:v>+372-523-5708</x:v>
      </x:c>
      <x:c r="E64" t="str">
        <x:v>Helsinki</x:v>
      </x:c>
      <x:c r="F64" t="str">
        <x:v>2026-05-23</x:v>
      </x:c>
      <x:c r="G64" t="str">
        <x:v>Premium Tea</x:v>
      </x:c>
      <x:c r="H64" t="str">
        <x:v>Food</x:v>
      </x:c>
      <x:c r="I64" t="str">
        <x:v>€12.59</x:v>
      </x:c>
      <x:c r="J64" t="str">
        <x:v>PAID</x:v>
      </x:c>
    </x:row>
    <x:row r="65">
      <x:c r="A65" t="str">
        <x:v>ORD-1061</x:v>
      </x:c>
      <x:c r="B65" t="str">
        <x:v>Alina Fedorova</x:v>
      </x:c>
      <x:c r="C65" t="str">
        <x:v>alina.fedorova61@mail.com</x:v>
      </x:c>
      <x:c r="D65" t="str">
        <x:v>+372-544-6475</x:v>
      </x:c>
      <x:c r="E65" t="str">
        <x:v>helsinki</x:v>
      </x:c>
      <x:c r="F65" t="str">
        <x:v>2026-02-03</x:v>
      </x:c>
      <x:c r="G65" t="str">
        <x:v>Water Bottle</x:v>
      </x:c>
      <x:c r="H65" t="str">
        <x:v>Sports</x:v>
      </x:c>
      <x:c r="I65" t="str">
        <x:v>100,68</x:v>
      </x:c>
      <x:c r="J65" t="str">
        <x:v>Canceled</x:v>
      </x:c>
    </x:row>
    <x:row r="66">
      <x:c r="A66" t="str">
        <x:v>ORD-1062</x:v>
      </x:c>
      <x:c r="B66" t="str">
        <x:v>Anna Ivanova</x:v>
      </x:c>
      <x:c r="C66" t="str">
        <x:v> ANNA.IVANOVA62@GMAIL.COM </x:v>
      </x:c>
      <x:c r="D66" t="str">
        <x:v>+372 518 9922</x:v>
      </x:c>
      <x:c r="E66" t="str">
        <x:v>helsinki</x:v>
      </x:c>
      <x:c r="F66" t="str">
        <x:v>15/05/2026</x:v>
      </x:c>
      <x:c r="G66" t="str">
        <x:v>Desk Lamp</x:v>
      </x:c>
      <x:c r="H66" t="str">
        <x:v>Home</x:v>
      </x:c>
      <x:c r="I66" t="str">
        <x:v> 62.81 </x:v>
      </x:c>
      <x:c r="J66" t="str">
        <x:v>cancelled</x:v>
      </x:c>
    </x:row>
    <x:row r="67">
      <x:c r="A67" t="str">
        <x:v>ORD-1063</x:v>
      </x:c>
      <x:c r="B67" t="str">
        <x:v>  IRINA POPOVA </x:v>
      </x:c>
      <x:c r="C67" t="str">
        <x:v>irina.popova63@gmail.com</x:v>
      </x:c>
      <x:c r="D67" t="str">
        <x:v>+372-533-5866</x:v>
      </x:c>
      <x:c r="E67" t="str">
        <x:v>Tallinn</x:v>
      </x:c>
      <x:c r="F67" t="str">
        <x:v>2026-02-25</x:v>
      </x:c>
      <x:c r="G67" t="str">
        <x:v>Wireless Mouse</x:v>
      </x:c>
      <x:c r="H67" t="str">
        <x:v>Electronics</x:v>
      </x:c>
      <x:c r="I67" t="str">
        <x:v> 51.29 </x:v>
      </x:c>
      <x:c r="J67" t="str">
        <x:v>Pending </x:v>
      </x:c>
    </x:row>
    <x:row r="68">
      <x:c r="A68" t="str">
        <x:v>ORD-1064</x:v>
      </x:c>
      <x:c r="B68" t="str">
        <x:v>  ELENA SMIRNOVA </x:v>
      </x:c>
      <x:c r="C68" t="str">
        <x:v>elena.smirnova64@mail.com</x:v>
      </x:c>
      <x:c r="D68" t="str">
        <x:v>(+372) 598 6159</x:v>
      </x:c>
      <x:c r="E68" t="str">
        <x:v>Warsaw</x:v>
      </x:c>
      <x:c r="F68" t="str">
        <x:v>30/01/2026</x:v>
      </x:c>
      <x:c r="G68" t="str">
        <x:v>Yoga Mat</x:v>
      </x:c>
      <x:c r="H68" t="str">
        <x:v>Sports</x:v>
      </x:c>
      <x:c r="I68" t="str">
        <x:v>€29.3</x:v>
      </x:c>
      <x:c r="J68" t="str">
        <x:v>refunded</x:v>
      </x:c>
    </x:row>
    <x:row r="69">
      <x:c r="A69" t="str">
        <x:v>ORD-1065</x:v>
      </x:c>
      <x:c r="B69" t="str">
        <x:v>Maria Petrova</x:v>
      </x:c>
      <x:c r="C69" t="str">
        <x:v>maria.petrova65@example.com</x:v>
      </x:c>
      <x:c r="D69" t="str">
        <x:v>+372-584-9241</x:v>
      </x:c>
      <x:c r="E69" t="str">
        <x:v>Tartu</x:v>
      </x:c>
      <x:c r="F69" t="str">
        <x:v>30/04/2026</x:v>
      </x:c>
      <x:c r="G69" t="str">
        <x:v>Yoga Mat</x:v>
      </x:c>
      <x:c r="H69" t="str">
        <x:v>Sports</x:v>
      </x:c>
      <x:c r="I69" t="str">
        <x:v>81,74</x:v>
      </x:c>
      <x:c r="J69" t="str">
        <x:v>paid</x:v>
      </x:c>
    </x:row>
    <x:row r="70">
      <x:c r="A70" t="str">
        <x:v>ORD-1066</x:v>
      </x:c>
      <x:c r="B70" t="str">
        <x:v>Sofia Morozova</x:v>
      </x:c>
      <x:c r="C70" t="str">
        <x:v>sofia.morozova66@gmail.com</x:v>
      </x:c>
      <x:c r="D70" t="str">
        <x:v>+372 514 2782</x:v>
      </x:c>
      <x:c r="E70" t="str">
        <x:v>Riga</x:v>
      </x:c>
      <x:c r="F70" t="str">
        <x:v>2026-05-23</x:v>
      </x:c>
      <x:c r="G70" t="str">
        <x:v>Wireless Mouse</x:v>
      </x:c>
      <x:c r="H70" t="str">
        <x:v>Electronics</x:v>
      </x:c>
      <x:c r="I70" t="str">
        <x:v> 84.88 </x:v>
      </x:c>
      <x:c r="J70" t="str">
        <x:v>REFUNDED</x:v>
      </x:c>
    </x:row>
    <x:row r="71">
      <x:c r="A71" t="str">
        <x:v>ORD-1067</x:v>
      </x:c>
      <x:c r="B71" t="str">
        <x:v>Nina Volkova</x:v>
      </x:c>
      <x:c r="C71" t="str">
        <x:v>nina.volkova67@mail.com</x:v>
      </x:c>
      <x:c r="D71" t="str">
        <x:v>(+372) 598 9257</x:v>
      </x:c>
      <x:c r="E71" t="str">
        <x:v>Tallinn</x:v>
      </x:c>
      <x:c r="F71" t="str">
        <x:v>02-05-2026</x:v>
      </x:c>
      <x:c r="G71" t="str">
        <x:v>Premium Tea</x:v>
      </x:c>
      <x:c r="H71" t="str">
        <x:v>Food</x:v>
      </x:c>
      <x:c r="I71" t="str">
        <x:v>€21.45</x:v>
      </x:c>
      <x:c r="J71" t="str">
        <x:v>Paid</x:v>
      </x:c>
    </x:row>
    <x:row r="72">
      <x:c r="A72" t="str">
        <x:v>ORD-1068</x:v>
      </x:c>
      <x:c r="B72" t="str">
        <x:v>Nina Volkova</x:v>
      </x:c>
      <x:c r="C72" t="str">
        <x:v>nina.volkova68@example.com</x:v>
      </x:c>
      <x:c r="D72" t="str">
        <x:v>+372 566 1707</x:v>
      </x:c>
      <x:c r="E72" t="str">
        <x:v>Vilnius</x:v>
      </x:c>
      <x:c r="F72" t="str">
        <x:v>2026-05-23</x:v>
      </x:c>
      <x:c r="G72" t="str">
        <x:v>Water Bottle</x:v>
      </x:c>
      <x:c r="H72" t="str">
        <x:v>Sports</x:v>
      </x:c>
      <x:c r="I72" t="str">
        <x:v>19,74</x:v>
      </x:c>
      <x:c r="J72" t="str">
        <x:v> pending</x:v>
      </x:c>
    </x:row>
    <x:row r="73">
      <x:c r="A73" t="str">
        <x:v>ORD-1069</x:v>
      </x:c>
      <x:c r="B73" t="str">
        <x:v>Anna Ivanova</x:v>
      </x:c>
      <x:c r="C73" t="str">
        <x:v>anna.ivanova69@example.com</x:v>
      </x:c>
      <x:c r="D73" t="str">
        <x:v>+372 599 6440</x:v>
      </x:c>
      <x:c r="E73" t="str">
        <x:v>Vilnius</x:v>
      </x:c>
      <x:c r="F73" t="str">
        <x:v>2026-03-22</x:v>
      </x:c>
      <x:c r="G73" t="str">
        <x:v>Premium Tea</x:v>
      </x:c>
      <x:c r="H73" t="str">
        <x:v>Food</x:v>
      </x:c>
      <x:c r="I73" t="str">
        <x:v>€12.18</x:v>
      </x:c>
      <x:c r="J73" t="str">
        <x:v>REFUNDED</x:v>
      </x:c>
    </x:row>
    <x:row r="74">
      <x:c r="A74" t="str">
        <x:v>ORD-1070</x:v>
      </x:c>
      <x:c r="B74" t="str">
        <x:v>Sofia Morozova</x:v>
      </x:c>
      <x:c r="C74" t="str">
        <x:v> SOFIA.MOROZOVA70@MAIL.COM </x:v>
      </x:c>
      <x:c r="D74" t="str">
        <x:v>(+372) 555 7733</x:v>
      </x:c>
      <x:c r="E74" t="str">
        <x:v>Tartu</x:v>
      </x:c>
      <x:c r="F74" t="str">
        <x:v>01-27-2026</x:v>
      </x:c>
      <x:c r="G74" t="str">
        <x:v>Premium Tea</x:v>
      </x:c>
      <x:c r="H74" t="str">
        <x:v>Food</x:v>
      </x:c>
      <x:c r="I74" t="str">
        <x:v>€60.33</x:v>
      </x:c>
      <x:c r="J74" t="str">
        <x:v>refunded</x:v>
      </x:c>
    </x:row>
    <x:row r="75">
      <x:c r="A75" t="str">
        <x:v>ORD-1071</x:v>
      </x:c>
      <x:c r="B75" t="str">
        <x:v>  IRINA POPOVA </x:v>
      </x:c>
      <x:c r="C75" t="str">
        <x:v>irina.popova71@mail.com</x:v>
      </x:c>
      <x:c r="D75" t="str">
        <x:v>+372-525-4868</x:v>
      </x:c>
      <x:c r="E75" t="str">
        <x:v>Vilnius</x:v>
      </x:c>
      <x:c r="F75" t="str">
        <x:v>02-21-2026</x:v>
      </x:c>
      <x:c r="G75" t="str">
        <x:v>Notebook A5</x:v>
      </x:c>
      <x:c r="H75" t="str">
        <x:v>Office</x:v>
      </x:c>
      <x:c r="I75" t="str">
        <x:v>€19.79</x:v>
      </x:c>
      <x:c r="J75" t="str">
        <x:v>Canceled</x:v>
      </x:c>
    </x:row>
    <x:row r="76">
      <x:c r="A76" t="str">
        <x:v>ORD-1072</x:v>
      </x:c>
      <x:c r="B76" t="str">
        <x:v>Alina Fedorova</x:v>
      </x:c>
      <x:c r="C76" t="str">
        <x:v>alina.fedorova72@gmail.com</x:v>
      </x:c>
      <x:c r="D76" t="str">
        <x:v>+372 567 0452</x:v>
      </x:c>
      <x:c r="E76" t="str">
        <x:v>riga</x:v>
      </x:c>
      <x:c r="F76" t="str">
        <x:v>01-16-2026</x:v>
      </x:c>
      <x:c r="G76" t="str">
        <x:v>Water Bottle</x:v>
      </x:c>
      <x:c r="H76" t="str">
        <x:v>Sports</x:v>
      </x:c>
      <x:c r="I76" t="str">
        <x:v>52.95</x:v>
      </x:c>
      <x:c r="J76" t="str">
        <x:v>Canceled</x:v>
      </x:c>
    </x:row>
    <x:row r="77">
      <x:c r="A77" t="str">
        <x:v>ORD-1073</x:v>
      </x:c>
      <x:c r="B77" t="str">
        <x:v>Sofia Morozova</x:v>
      </x:c>
      <x:c r="C77" t="str">
        <x:v>sofia.morozova73@mail.com</x:v>
      </x:c>
      <x:c r="D77" t="str">
        <x:v>(+372) 561 3567</x:v>
      </x:c>
      <x:c r="E77" t="str">
        <x:v>Vilnius</x:v>
      </x:c>
      <x:c r="F77" t="str">
        <x:v>2026-03-22</x:v>
      </x:c>
      <x:c r="G77" t="str">
        <x:v>Desk Lamp</x:v>
      </x:c>
      <x:c r="H77" t="str">
        <x:v>Home</x:v>
      </x:c>
      <x:c r="I77" t="str">
        <x:v>145.02</x:v>
      </x:c>
      <x:c r="J77" t="str">
        <x:v>Paid</x:v>
      </x:c>
    </x:row>
    <x:row r="78">
      <x:c r="A78" t="str">
        <x:v>ORD-1074</x:v>
      </x:c>
      <x:c r="B78" t="str">
        <x:v>  OLGA SOKOLOVA </x:v>
      </x:c>
      <x:c r="C78" t="str">
        <x:v> OLGA.SOKOLOVA74@MAIL.COM </x:v>
      </x:c>
      <x:c r="D78" t="str">
        <x:v>+372-560-9554</x:v>
      </x:c>
      <x:c r="E78" t="str">
        <x:v>Warsaw</x:v>
      </x:c>
      <x:c r="F78" t="str">
        <x:v>05-01-2026</x:v>
      </x:c>
      <x:c r="G78" t="str">
        <x:v>Wireless Mouse</x:v>
      </x:c>
      <x:c r="H78" t="str">
        <x:v>Electronics</x:v>
      </x:c>
      <x:c r="I78" t="str">
        <x:v> 55.08 </x:v>
      </x:c>
      <x:c r="J78" t="str">
        <x:v>cancelled</x:v>
      </x:c>
    </x:row>
    <x:row r="79">
      <x:c r="A79" t="str">
        <x:v>ORD-1075</x:v>
      </x:c>
      <x:c r="B79" t="str">
        <x:v>Anna Ivanova</x:v>
      </x:c>
      <x:c r="C79" t="str">
        <x:v>anna.ivanova75@mail.com</x:v>
      </x:c>
      <x:c r="D79" t="str">
        <x:v>+372-584-3115</x:v>
      </x:c>
      <x:c r="E79" t="str">
        <x:v>Vilnius</x:v>
      </x:c>
      <x:c r="F79" t="str">
        <x:v>04-16-2026</x:v>
      </x:c>
      <x:c r="G79" t="str">
        <x:v>Yoga Mat</x:v>
      </x:c>
      <x:c r="H79" t="str">
        <x:v>Sports</x:v>
      </x:c>
      <x:c r="I79" t="str">
        <x:v>31.92</x:v>
      </x:c>
      <x:c r="J79" t="str">
        <x:v>refunded</x:v>
      </x:c>
    </x:row>
    <x:row r="80">
      <x:c r="A80" t="str">
        <x:v>ORD-1076</x:v>
      </x:c>
      <x:c r="B80" t="str">
        <x:v>Nina Volkova</x:v>
      </x:c>
      <x:c r="C80" t="str">
        <x:v>nina.volkova76@gmail.com</x:v>
      </x:c>
      <x:c r="D80" t="str">
        <x:v>+372 526 0677</x:v>
      </x:c>
      <x:c r="E80" t="str">
        <x:v>Riga</x:v>
      </x:c>
      <x:c r="F80" t="str">
        <x:v>02-16-2026</x:v>
      </x:c>
      <x:c r="G80" t="str">
        <x:v>Desk Lamp</x:v>
      </x:c>
      <x:c r="H80" t="str">
        <x:v>Home</x:v>
      </x:c>
      <x:c r="I80" t="str">
        <x:v> 92.92 </x:v>
      </x:c>
      <x:c r="J80" t="str">
        <x:v>Canceled</x:v>
      </x:c>
    </x:row>
    <x:row r="81">
      <x:c r="A81" t="str">
        <x:v>ORD-1077</x:v>
      </x:c>
      <x:c r="B81" t="str">
        <x:v>Kate Brown</x:v>
      </x:c>
      <x:c r="C81" t="str">
        <x:v>kate.brown77@gmail.com</x:v>
      </x:c>
      <x:c r="D81" t="str">
        <x:v>+372 570 8689</x:v>
      </x:c>
      <x:c r="E81" t="str">
        <x:v>Vilnius</x:v>
      </x:c>
      <x:c r="F81" t="str">
        <x:v>2026-01-16</x:v>
      </x:c>
      <x:c r="G81" t="str">
        <x:v>Yoga Mat</x:v>
      </x:c>
      <x:c r="H81" t="str">
        <x:v>Sports</x:v>
      </x:c>
      <x:c r="I81" t="str">
        <x:v>60.2</x:v>
      </x:c>
      <x:c r="J81" t="str">
        <x:v>Canceled</x:v>
      </x:c>
    </x:row>
    <x:row r="82">
      <x:c r="A82" t="str">
        <x:v>ORD-1078</x:v>
      </x:c>
      <x:c r="B82" t="str">
        <x:v>Sofia Morozova</x:v>
      </x:c>
      <x:c r="C82" t="str">
        <x:v>sofia.morozova78@example.com</x:v>
      </x:c>
      <x:c r="D82" t="str">
        <x:v>(+372) 574 7002</x:v>
      </x:c>
      <x:c r="E82" t="str">
        <x:v>Riga</x:v>
      </x:c>
      <x:c r="F82" t="str">
        <x:v>2026-01-28</x:v>
      </x:c>
      <x:c r="G82" t="str">
        <x:v>Desk Lamp</x:v>
      </x:c>
      <x:c r="H82" t="str">
        <x:v>Home</x:v>
      </x:c>
      <x:c r="I82" t="str">
        <x:v>€64.42</x:v>
      </x:c>
      <x:c r="J82" t="str">
        <x:v>paid</x:v>
      </x:c>
    </x:row>
    <x:row r="83">
      <x:c r="A83" t="str">
        <x:v>ORD-1079</x:v>
      </x:c>
      <x:c r="B83" t="str">
        <x:v>  ALINA FEDOROVA </x:v>
      </x:c>
      <x:c r="C83" t="str">
        <x:v> ALINA.FEDOROVA79@EXAMPLE.COM </x:v>
      </x:c>
      <x:c r="D83" t="str">
        <x:v>+372-553-4118</x:v>
      </x:c>
      <x:c r="E83" t="str">
        <x:v>Tartu</x:v>
      </x:c>
      <x:c r="F83" t="str">
        <x:v>05-12-2026</x:v>
      </x:c>
      <x:c r="G83" t="str">
        <x:v>Water Bottle</x:v>
      </x:c>
      <x:c r="H83" t="str">
        <x:v>Sports</x:v>
      </x:c>
      <x:c r="I83" t="str">
        <x:v>84.87</x:v>
      </x:c>
      <x:c r="J83" t="str">
        <x:v>Pending </x:v>
      </x:c>
    </x:row>
    <x:row r="84">
      <x:c r="A84" t="str">
        <x:v>ORD-1080</x:v>
      </x:c>
      <x:c r="B84" t="str">
        <x:v>Elena Smirnova</x:v>
      </x:c>
      <x:c r="C84" t="str">
        <x:v> ELENA.SMIRNOVA80@MAIL.COM </x:v>
      </x:c>
      <x:c r="D84" t="str">
        <x:v>+372 546 7305</x:v>
      </x:c>
      <x:c r="E84" t="str">
        <x:v>Riga</x:v>
      </x:c>
      <x:c r="F84" t="str">
        <x:v>01/02/2026</x:v>
      </x:c>
      <x:c r="G84" t="str">
        <x:v>Water Bottle</x:v>
      </x:c>
      <x:c r="H84" t="str">
        <x:v>Sports</x:v>
      </x:c>
      <x:c r="I84" t="str">
        <x:v>€18.81</x:v>
      </x:c>
      <x:c r="J84" t="str">
        <x:v>Paid</x:v>
      </x:c>
    </x:row>
    <x:row r="85">
      <x:c r="A85" t="str">
        <x:v>ORD-1081</x:v>
      </x:c>
      <x:c r="B85" t="str">
        <x:v>Daria Kuznetsova</x:v>
      </x:c>
      <x:c r="C85" t="str">
        <x:v> DARIA.KUZNETSOVA81@EXAMPLE.COM </x:v>
      </x:c>
      <x:c r="D85" t="str">
        <x:v>+372-574-2874</x:v>
      </x:c>
      <x:c r="E85" t="str">
        <x:v>Tallinn</x:v>
      </x:c>
      <x:c r="F85" t="str">
        <x:v>2026-03-15</x:v>
      </x:c>
      <x:c r="G85" t="str">
        <x:v>Desk Lamp</x:v>
      </x:c>
      <x:c r="H85" t="str">
        <x:v>Home</x:v>
      </x:c>
      <x:c r="I85" t="str">
        <x:v>58.16</x:v>
      </x:c>
      <x:c r="J85" t="str">
        <x:v>Canceled</x:v>
      </x:c>
    </x:row>
    <x:row r="86">
      <x:c r="A86" t="str">
        <x:v>ORD-1082</x:v>
      </x:c>
      <x:c r="B86" t="str">
        <x:v>Anna Ivanova</x:v>
      </x:c>
      <x:c r="C86" t="str">
        <x:v>anna.ivanova82@mail.com</x:v>
      </x:c>
      <x:c r="D86" t="str">
        <x:v>+372-575-4492</x:v>
      </x:c>
      <x:c r="E86" t="str">
        <x:v>Warsaw</x:v>
      </x:c>
      <x:c r="F86" t="str">
        <x:v>12/04/2026</x:v>
      </x:c>
      <x:c r="G86" t="str">
        <x:v>Premium Tea</x:v>
      </x:c>
      <x:c r="H86" t="str">
        <x:v>Food</x:v>
      </x:c>
      <x:c r="I86" t="str">
        <x:v>56.17</x:v>
      </x:c>
      <x:c r="J86" t="str">
        <x:v> pending</x:v>
      </x:c>
    </x:row>
    <x:row r="87">
      <x:c r="A87" t="str">
        <x:v>ORD-1083</x:v>
      </x:c>
      <x:c r="B87" t="str">
        <x:v>Olga Sokolova</x:v>
      </x:c>
      <x:c r="C87" t="str">
        <x:v> OLGA.SOKOLOVA83@GMAIL.COM </x:v>
      </x:c>
      <x:c r="D87" t="str">
        <x:v>+372-520-2128</x:v>
      </x:c>
      <x:c r="E87" t="str">
        <x:v>Tartu</x:v>
      </x:c>
      <x:c r="F87" t="str">
        <x:v>03-19-2026</x:v>
      </x:c>
      <x:c r="G87" t="str">
        <x:v>Wireless Mouse</x:v>
      </x:c>
      <x:c r="H87" t="str">
        <x:v>Electronics</x:v>
      </x:c>
      <x:c r="I87" t="str">
        <x:v>28.39</x:v>
      </x:c>
      <x:c r="J87" t="str">
        <x:v>refunded</x:v>
      </x:c>
    </x:row>
    <x:row r="88">
      <x:c r="A88" t="str">
        <x:v>ORD-1084</x:v>
      </x:c>
      <x:c r="B88" t="str">
        <x:v>Daria Kuznetsova</x:v>
      </x:c>
      <x:c r="C88" t="str">
        <x:v>daria.kuznetsova84@mail.com</x:v>
      </x:c>
      <x:c r="D88" t="str">
        <x:v>(+372) 528 4996</x:v>
      </x:c>
      <x:c r="E88" t="str">
        <x:v>Warsaw</x:v>
      </x:c>
      <x:c r="F88" t="str">
        <x:v>14/02/2026</x:v>
      </x:c>
      <x:c r="G88" t="str">
        <x:v>Premium Tea</x:v>
      </x:c>
      <x:c r="H88" t="str">
        <x:v>Food</x:v>
      </x:c>
      <x:c r="I88" t="str">
        <x:v>44.4</x:v>
      </x:c>
      <x:c r="J88" t="str">
        <x:v>Canceled</x:v>
      </x:c>
    </x:row>
    <x:row r="89">
      <x:c r="A89" t="str">
        <x:v>ORD-1085</x:v>
      </x:c>
      <x:c r="B89" t="str">
        <x:v>Daria Kuznetsova</x:v>
      </x:c>
      <x:c r="C89" t="str">
        <x:v>daria.kuznetsova85@gmail.com</x:v>
      </x:c>
      <x:c r="D89" t="str">
        <x:v>(+372) 525 7944</x:v>
      </x:c>
      <x:c r="E89" t="str">
        <x:v>Vilnius</x:v>
      </x:c>
      <x:c r="F89" t="str">
        <x:v>04-14-2026</x:v>
      </x:c>
      <x:c r="G89" t="str">
        <x:v>Desk Lamp</x:v>
      </x:c>
      <x:c r="H89" t="str">
        <x:v>Home</x:v>
      </x:c>
      <x:c r="I89" t="str">
        <x:v> 65.89 </x:v>
      </x:c>
      <x:c r="J89" t="str">
        <x:v>Canceled</x:v>
      </x:c>
    </x:row>
    <x:row r="90">
      <x:c r="A90" t="str">
        <x:v>ORD-1086</x:v>
      </x:c>
      <x:c r="B90" t="str">
        <x:v>Maria Petrova</x:v>
      </x:c>
      <x:c r="C90" t="str">
        <x:v>maria.petrova86@gmail.com</x:v>
      </x:c>
      <x:c r="D90" t="str">
        <x:v>+372-531-0888</x:v>
      </x:c>
      <x:c r="E90" t="str">
        <x:v>Tallinn</x:v>
      </x:c>
      <x:c r="F90" t="str">
        <x:v>2026-03-20</x:v>
      </x:c>
      <x:c r="G90" t="str">
        <x:v>Water Bottle</x:v>
      </x:c>
      <x:c r="H90" t="str">
        <x:v>Sports</x:v>
      </x:c>
      <x:c r="I90" t="str">
        <x:v> 36.96 </x:v>
      </x:c>
      <x:c r="J90" t="str">
        <x:v>Paid</x:v>
      </x:c>
    </x:row>
    <x:row r="91">
      <x:c r="A91" t="str">
        <x:v>ORD-1087</x:v>
      </x:c>
      <x:c r="B91" t="str">
        <x:v>Irina Popova</x:v>
      </x:c>
      <x:c r="C91" t="str">
        <x:v>irina.popova87@gmail.com</x:v>
      </x:c>
      <x:c r="D91" t="str">
        <x:v>+372 595 9247</x:v>
      </x:c>
      <x:c r="E91" t="str">
        <x:v>Tallinn</x:v>
      </x:c>
      <x:c r="F91" t="str">
        <x:v>2026-03-12</x:v>
      </x:c>
      <x:c r="G91" t="str">
        <x:v>Water Bottle</x:v>
      </x:c>
      <x:c r="H91" t="str">
        <x:v>Sports</x:v>
      </x:c>
      <x:c r="I91" t="str">
        <x:v>76,35</x:v>
      </x:c>
      <x:c r="J91" t="str">
        <x:v>Paid</x:v>
      </x:c>
    </x:row>
    <x:row r="92">
      <x:c r="A92" t="str">
        <x:v>ORD-1088</x:v>
      </x:c>
      <x:c r="B92" t="str">
        <x:v>Anna Ivanova</x:v>
      </x:c>
      <x:c r="C92" t="str">
        <x:v>anna.ivanova88@example.com</x:v>
      </x:c>
      <x:c r="D92" t="str">
        <x:v>+372 519 0343</x:v>
      </x:c>
      <x:c r="E92" t="str">
        <x:v>Tartu</x:v>
      </x:c>
      <x:c r="F92" t="str">
        <x:v>2026-02-19</x:v>
      </x:c>
      <x:c r="G92" t="str">
        <x:v>Desk Lamp</x:v>
      </x:c>
      <x:c r="H92" t="str">
        <x:v>Home</x:v>
      </x:c>
      <x:c r="I92" t="str">
        <x:v>98,29</x:v>
      </x:c>
      <x:c r="J92" t="str">
        <x:v>PAID</x:v>
      </x:c>
    </x:row>
    <x:row r="93">
      <x:c r="A93" t="str">
        <x:v>ORD-1089</x:v>
      </x:c>
      <x:c r="B93" t="str">
        <x:v>Olga Sokolova</x:v>
      </x:c>
      <x:c r="C93" t="str">
        <x:v>olga.sokolova89@mail.com</x:v>
      </x:c>
      <x:c r="D93" t="str">
        <x:v>+372-550-7502</x:v>
      </x:c>
      <x:c r="E93" t="str">
        <x:v>helsinki</x:v>
      </x:c>
      <x:c r="F93" t="str">
        <x:v>03-31-2026</x:v>
      </x:c>
      <x:c r="G93" t="str">
        <x:v>Yoga Mat</x:v>
      </x:c>
      <x:c r="H93" t="str">
        <x:v>Sports</x:v>
      </x:c>
      <x:c r="I93" t="str">
        <x:v>54.27</x:v>
      </x:c>
      <x:c r="J93" t="str">
        <x:v>paid</x:v>
      </x:c>
    </x:row>
    <x:row r="94">
      <x:c r="A94" t="str">
        <x:v>ORD-1090</x:v>
      </x:c>
      <x:c r="B94" t="str">
        <x:v>Sofia Morozova</x:v>
      </x:c>
      <x:c r="C94" t="str">
        <x:v>sofia.morozova90@example.com</x:v>
      </x:c>
      <x:c r="D94" t="str">
        <x:v>(+372) 543 9132</x:v>
      </x:c>
      <x:c r="E94" t="str">
        <x:v>Vilnius</x:v>
      </x:c>
      <x:c r="F94" t="str">
        <x:v>11/04/2026</x:v>
      </x:c>
      <x:c r="G94" t="str">
        <x:v>Coffee Beans</x:v>
      </x:c>
      <x:c r="H94" t="str">
        <x:v>Food</x:v>
      </x:c>
      <x:c r="I94" t="str">
        <x:v>€80.16</x:v>
      </x:c>
      <x:c r="J94" t="str">
        <x:v>REFUNDED</x:v>
      </x:c>
    </x:row>
    <x:row r="95">
      <x:c r="A95" t="str">
        <x:v>ORD-1091</x:v>
      </x:c>
      <x:c r="B95" t="str">
        <x:v>Sofia Morozova</x:v>
      </x:c>
      <x:c r="C95" t="str">
        <x:v>sofia.morozova91@gmail.com</x:v>
      </x:c>
      <x:c r="D95" t="str">
        <x:v>+372-548-1017</x:v>
      </x:c>
      <x:c r="E95" t="str">
        <x:v>Warsaw</x:v>
      </x:c>
      <x:c r="F95" t="str">
        <x:v>04-28-2026</x:v>
      </x:c>
      <x:c r="G95" t="str">
        <x:v>Desk Lamp</x:v>
      </x:c>
      <x:c r="H95" t="str">
        <x:v>Home</x:v>
      </x:c>
      <x:c r="I95" t="str">
        <x:v>153.31</x:v>
      </x:c>
      <x:c r="J95" t="str">
        <x:v>refunded</x:v>
      </x:c>
    </x:row>
    <x:row r="96">
      <x:c r="A96" t="str">
        <x:v>ORD-1092</x:v>
      </x:c>
      <x:c r="B96" t="str">
        <x:v>  KATE BROWN </x:v>
      </x:c>
      <x:c r="C96" t="str">
        <x:v>kate.brown92@example.com</x:v>
      </x:c>
      <x:c r="D96" t="str">
        <x:v>+372-590-4798</x:v>
      </x:c>
      <x:c r="E96" t="str">
        <x:v>Riga</x:v>
      </x:c>
      <x:c r="F96" t="str">
        <x:v>05-13-2026</x:v>
      </x:c>
      <x:c r="G96" t="str">
        <x:v>USB-C Cable</x:v>
      </x:c>
      <x:c r="H96" t="str">
        <x:v>Electronics</x:v>
      </x:c>
      <x:c r="I96" t="str">
        <x:v>11.29</x:v>
      </x:c>
      <x:c r="J96" t="str">
        <x:v>cancelled</x:v>
      </x:c>
    </x:row>
    <x:row r="97">
      <x:c r="A97" t="str">
        <x:v>ORD-1093</x:v>
      </x:c>
      <x:c r="B97" t="str">
        <x:v>Sofia Morozova</x:v>
      </x:c>
      <x:c r="C97" t="str">
        <x:v>sofia.morozova93@gmail.com</x:v>
      </x:c>
      <x:c r="D97" t="str">
        <x:v>+372 514 1652</x:v>
      </x:c>
      <x:c r="E97" t="str">
        <x:v>Helsinki</x:v>
      </x:c>
      <x:c r="F97" t="str">
        <x:v>04-15-2026</x:v>
      </x:c>
      <x:c r="G97" t="str">
        <x:v>Wireless Mouse</x:v>
      </x:c>
      <x:c r="H97" t="str">
        <x:v>Electronics</x:v>
      </x:c>
      <x:c r="I97" t="str">
        <x:v> 112.17 </x:v>
      </x:c>
      <x:c r="J97" t="str">
        <x:v>cancelled</x:v>
      </x:c>
    </x:row>
    <x:row r="98">
      <x:c r="A98" t="str">
        <x:v>ORD-1094</x:v>
      </x:c>
      <x:c r="B98" t="str">
        <x:v>Sofia Morozova</x:v>
      </x:c>
      <x:c r="C98" t="str">
        <x:v> SOFIA.MOROZOVA94@GMAIL.COM </x:v>
      </x:c>
      <x:c r="D98" t="str">
        <x:v>+372-567-3995</x:v>
      </x:c>
      <x:c r="E98" t="str">
        <x:v>Vilnius</x:v>
      </x:c>
      <x:c r="F98" t="str">
        <x:v>05-25-2026</x:v>
      </x:c>
      <x:c r="G98" t="str">
        <x:v>Water Bottle</x:v>
      </x:c>
      <x:c r="H98" t="str">
        <x:v>Sports</x:v>
      </x:c>
      <x:c r="I98" t="str">
        <x:v> 68.21 </x:v>
      </x:c>
      <x:c r="J98" t="str">
        <x:v>paid</x:v>
      </x:c>
    </x:row>
    <x:row r="99">
      <x:c r="A99" t="str">
        <x:v>ORD-1095</x:v>
      </x:c>
      <x:c r="B99" t="str">
        <x:v>Anna Ivanova</x:v>
      </x:c>
      <x:c r="C99" t="str">
        <x:v>anna.ivanova95@gmail.com</x:v>
      </x:c>
      <x:c r="D99" t="str">
        <x:v>+372-599-7989</x:v>
      </x:c>
      <x:c r="E99" t="str">
        <x:v>Tartu</x:v>
      </x:c>
      <x:c r="F99" t="str">
        <x:v>02-19-2026</x:v>
      </x:c>
      <x:c r="G99" t="str">
        <x:v>USB-C Cable</x:v>
      </x:c>
      <x:c r="H99" t="str">
        <x:v>Electronics</x:v>
      </x:c>
      <x:c r="I99" t="str">
        <x:v>21,73</x:v>
      </x:c>
      <x:c r="J99" t="str">
        <x:v>Paid</x:v>
      </x:c>
    </x:row>
    <x:row r="100">
      <x:c r="A100" t="str">
        <x:v>ORD-1096</x:v>
      </x:c>
      <x:c r="B100" t="str">
        <x:v>Alina Fedorova</x:v>
      </x:c>
      <x:c r="C100" t="str">
        <x:v>alina.fedorova96@example.com</x:v>
      </x:c>
      <x:c r="D100" t="str">
        <x:v>+372 512 8609</x:v>
      </x:c>
      <x:c r="E100" t="str">
        <x:v>Helsinki</x:v>
      </x:c>
      <x:c r="F100" t="str">
        <x:v>31/01/2026</x:v>
      </x:c>
      <x:c r="G100" t="str">
        <x:v>USB-C Cable</x:v>
      </x:c>
      <x:c r="H100" t="str">
        <x:v>Electronics</x:v>
      </x:c>
      <x:c r="I100" t="str">
        <x:v>22.35</x:v>
      </x:c>
      <x:c r="J100" t="str">
        <x:v>PAID</x:v>
      </x:c>
    </x:row>
    <x:row r="101">
      <x:c r="A101" t="str">
        <x:v>ORD-1097</x:v>
      </x:c>
      <x:c r="B101" t="str">
        <x:v>Irina Popova</x:v>
      </x:c>
      <x:c r="C101" t="str">
        <x:v>irina.popova97@mail.com</x:v>
      </x:c>
      <x:c r="D101" t="str">
        <x:v>+372 527 7519</x:v>
      </x:c>
      <x:c r="E101" t="str">
        <x:v>tartu</x:v>
      </x:c>
      <x:c r="F101" t="str">
        <x:v>02/03/2026</x:v>
      </x:c>
      <x:c r="G101" t="str">
        <x:v>Coffee Beans</x:v>
      </x:c>
      <x:c r="H101" t="str">
        <x:v>Food</x:v>
      </x:c>
      <x:c r="I101" t="str">
        <x:v> 70.86 </x:v>
      </x:c>
      <x:c r="J101" t="str">
        <x:v>Paid</x:v>
      </x:c>
    </x:row>
    <x:row r="102">
      <x:c r="A102" t="str">
        <x:v>ORD-1098</x:v>
      </x:c>
      <x:c r="B102" t="str">
        <x:v>  ANNA IVANOVA </x:v>
      </x:c>
      <x:c r="C102" t="str">
        <x:v>anna.ivanova98@mail.com</x:v>
      </x:c>
      <x:c r="D102" t="str">
        <x:v>(+372) 554 2351</x:v>
      </x:c>
      <x:c r="E102" t="str">
        <x:v>Helsinki</x:v>
      </x:c>
      <x:c r="F102" t="str">
        <x:v>01-13-2026</x:v>
      </x:c>
      <x:c r="G102" t="str">
        <x:v>Yoga Mat</x:v>
      </x:c>
      <x:c r="H102" t="str">
        <x:v>Sports</x:v>
      </x:c>
      <x:c r="I102" t="str">
        <x:v>133.47</x:v>
      </x:c>
      <x:c r="J102" t="str">
        <x:v>PAID</x:v>
      </x:c>
    </x:row>
    <x:row r="103">
      <x:c r="A103" t="str">
        <x:v>ORD-1099</x:v>
      </x:c>
      <x:c r="B103" t="str">
        <x:v>Alina Fedorova</x:v>
      </x:c>
      <x:c r="C103" t="str">
        <x:v>alina.fedorova99@gmail.com</x:v>
      </x:c>
      <x:c r="D103" t="str">
        <x:v>(+372) 581 0836</x:v>
      </x:c>
      <x:c r="E103" t="str">
        <x:v>Helsinki</x:v>
      </x:c>
      <x:c r="F103" t="str">
        <x:v>09/04/2026</x:v>
      </x:c>
      <x:c r="G103" t="str">
        <x:v>Yoga Mat</x:v>
      </x:c>
      <x:c r="H103" t="str">
        <x:v>Sports</x:v>
      </x:c>
      <x:c r="I103" t="str">
        <x:v> 57.2 </x:v>
      </x:c>
      <x:c r="J103" t="str">
        <x:v>paid</x:v>
      </x:c>
    </x:row>
    <x:row r="104">
      <x:c r="A104" t="str">
        <x:v>ORD-1100</x:v>
      </x:c>
      <x:c r="B104" t="str">
        <x:v>  SOFIA MOROZOVA </x:v>
      </x:c>
      <x:c r="C104" t="str">
        <x:v>sofia.morozova100@mail.com</x:v>
      </x:c>
      <x:c r="D104" t="str">
        <x:v>+372-566-9319</x:v>
      </x:c>
      <x:c r="E104" t="str">
        <x:v>Tartu</x:v>
      </x:c>
      <x:c r="F104" t="str">
        <x:v>2026-03-07</x:v>
      </x:c>
      <x:c r="G104" t="str">
        <x:v>Coffee Beans</x:v>
      </x:c>
      <x:c r="H104" t="str">
        <x:v>Food</x:v>
      </x:c>
      <x:c r="I104" t="str">
        <x:v>16,47</x:v>
      </x:c>
      <x:c r="J104" t="str">
        <x:v>Canceled</x:v>
      </x:c>
    </x:row>
    <x:row r="105">
      <x:c r="A105" t="str">
        <x:v>ORD-1101</x:v>
      </x:c>
      <x:c r="B105" t="str">
        <x:v>Anna Ivanova</x:v>
      </x:c>
      <x:c r="C105" t="str">
        <x:v>anna.ivanova101@example.com</x:v>
      </x:c>
      <x:c r="D105" t="str">
        <x:v>(+372) 584 7011</x:v>
      </x:c>
      <x:c r="E105" t="str">
        <x:v>Tartu</x:v>
      </x:c>
      <x:c r="F105" t="str">
        <x:v>03-03-2026</x:v>
      </x:c>
      <x:c r="G105" t="str">
        <x:v>USB-C Cable</x:v>
      </x:c>
      <x:c r="H105" t="str">
        <x:v>Electronics</x:v>
      </x:c>
      <x:c r="I105" t="str">
        <x:v>€47.11</x:v>
      </x:c>
      <x:c r="J105" t="str">
        <x:v>PAID</x:v>
      </x:c>
    </x:row>
    <x:row r="106">
      <x:c r="A106" t="str">
        <x:v>ORD-1102</x:v>
      </x:c>
      <x:c r="B106" t="str">
        <x:v>Olga Sokolova</x:v>
      </x:c>
      <x:c r="C106" t="str">
        <x:v>olga.sokolova102@gmail.com</x:v>
      </x:c>
      <x:c r="D106" t="str">
        <x:v>+372 526 0411</x:v>
      </x:c>
      <x:c r="E106" t="str">
        <x:v>Helsinki</x:v>
      </x:c>
      <x:c r="F106" t="str">
        <x:v>01-25-2026</x:v>
      </x:c>
      <x:c r="G106" t="str">
        <x:v>Desk Lamp</x:v>
      </x:c>
      <x:c r="H106" t="str">
        <x:v>Home</x:v>
      </x:c>
      <x:c r="I106" t="str">
        <x:v> 116.41 </x:v>
      </x:c>
      <x:c r="J106" t="str">
        <x:v> pending</x:v>
      </x:c>
    </x:row>
    <x:row r="107">
      <x:c r="A107" t="str">
        <x:v>ORD-1103</x:v>
      </x:c>
      <x:c r="B107" t="str">
        <x:v>Nina Volkova</x:v>
      </x:c>
      <x:c r="C107" t="str">
        <x:v>nina.volkova103@mail.com</x:v>
      </x:c>
      <x:c r="D107" t="str">
        <x:v>+372 545 9260</x:v>
      </x:c>
      <x:c r="E107" t="str">
        <x:v>helsinki</x:v>
      </x:c>
      <x:c r="F107" t="str">
        <x:v>20/05/2026</x:v>
      </x:c>
      <x:c r="G107" t="str">
        <x:v>Water Bottle</x:v>
      </x:c>
      <x:c r="H107" t="str">
        <x:v>Sports</x:v>
      </x:c>
      <x:c r="I107" t="str">
        <x:v> 81.57 </x:v>
      </x:c>
      <x:c r="J107" t="str">
        <x:v> pending</x:v>
      </x:c>
    </x:row>
    <x:row r="108">
      <x:c r="A108" t="str">
        <x:v>ORD-1104</x:v>
      </x:c>
      <x:c r="B108" t="str">
        <x:v>  KATE BROWN </x:v>
      </x:c>
      <x:c r="C108" t="str">
        <x:v>kate.brown104@gmail.com</x:v>
      </x:c>
      <x:c r="D108" t="str">
        <x:v>(+372) 563 3340</x:v>
      </x:c>
      <x:c r="E108" t="str">
        <x:v>warsaw</x:v>
      </x:c>
      <x:c r="F108" t="str">
        <x:v>10/01/2026</x:v>
      </x:c>
      <x:c r="G108" t="str">
        <x:v>USB-C Cable</x:v>
      </x:c>
      <x:c r="H108" t="str">
        <x:v>Electronics</x:v>
      </x:c>
      <x:c r="I108" t="str">
        <x:v>8.93</x:v>
      </x:c>
      <x:c r="J108" t="str">
        <x:v>paid</x:v>
      </x:c>
    </x:row>
    <x:row r="109">
      <x:c r="A109" t="str">
        <x:v>ORD-1105</x:v>
      </x:c>
      <x:c r="B109" t="str">
        <x:v>Maria Petrova</x:v>
      </x:c>
      <x:c r="C109" t="str">
        <x:v>maria.petrova105@gmail.com</x:v>
      </x:c>
      <x:c r="D109" t="str">
        <x:v>+372-541-3195</x:v>
      </x:c>
      <x:c r="E109" t="str">
        <x:v>Riga</x:v>
      </x:c>
      <x:c r="F109" t="str">
        <x:v>22/02/2026</x:v>
      </x:c>
      <x:c r="G109" t="str">
        <x:v>Water Bottle</x:v>
      </x:c>
      <x:c r="H109" t="str">
        <x:v>Sports</x:v>
      </x:c>
      <x:c r="I109" t="str">
        <x:v>€81.96</x:v>
      </x:c>
      <x:c r="J109" t="str">
        <x:v>Canceled</x:v>
      </x:c>
    </x:row>
    <x:row r="110">
      <x:c r="A110" t="str">
        <x:v>ORD-1106</x:v>
      </x:c>
      <x:c r="B110" t="str">
        <x:v>Alina Fedorova</x:v>
      </x:c>
      <x:c r="C110" t="str">
        <x:v>alina.fedorova106@mail.com</x:v>
      </x:c>
      <x:c r="D110" t="str">
        <x:v>+372-539-1532</x:v>
      </x:c>
      <x:c r="E110" t="str">
        <x:v>Helsinki</x:v>
      </x:c>
      <x:c r="F110" t="str">
        <x:v>03-23-2026</x:v>
      </x:c>
      <x:c r="G110" t="str">
        <x:v>USB-C Cable</x:v>
      </x:c>
      <x:c r="H110" t="str">
        <x:v>Electronics</x:v>
      </x:c>
      <x:c r="I110" t="str">
        <x:v>41,54</x:v>
      </x:c>
      <x:c r="J110" t="str">
        <x:v> pending</x:v>
      </x:c>
    </x:row>
    <x:row r="111">
      <x:c r="A111" t="str">
        <x:v>ORD-1107</x:v>
      </x:c>
      <x:c r="B111" t="str">
        <x:v>Anna Ivanova</x:v>
      </x:c>
      <x:c r="C111" t="str">
        <x:v>anna.ivanova107@gmail.com</x:v>
      </x:c>
      <x:c r="D111" t="str">
        <x:v>(+372) 545 2790</x:v>
      </x:c>
      <x:c r="E111" t="str">
        <x:v>Tallinn</x:v>
      </x:c>
      <x:c r="F111" t="str">
        <x:v>2026-04-23</x:v>
      </x:c>
      <x:c r="G111" t="str">
        <x:v>Desk Lamp</x:v>
      </x:c>
      <x:c r="H111" t="str">
        <x:v>Home</x:v>
      </x:c>
      <x:c r="I111" t="str">
        <x:v>€35.12</x:v>
      </x:c>
      <x:c r="J111" t="str">
        <x:v>REFUNDED</x:v>
      </x:c>
    </x:row>
    <x:row r="112">
      <x:c r="A112" t="str">
        <x:v>ORD-1108</x:v>
      </x:c>
      <x:c r="B112" t="str">
        <x:v>Sofia Morozova</x:v>
      </x:c>
      <x:c r="C112" t="str">
        <x:v>sofia.morozova108@example.com</x:v>
      </x:c>
      <x:c r="D112" t="str">
        <x:v>+372 598 1202</x:v>
      </x:c>
      <x:c r="E112" t="str">
        <x:v>Helsinki</x:v>
      </x:c>
      <x:c r="F112" t="str">
        <x:v>05-31-2026</x:v>
      </x:c>
      <x:c r="G112" t="str">
        <x:v>Notebook A5</x:v>
      </x:c>
      <x:c r="H112" t="str">
        <x:v>Office</x:v>
      </x:c>
      <x:c r="I112" t="str">
        <x:v>14,96</x:v>
      </x:c>
      <x:c r="J112" t="str">
        <x:v>paid</x:v>
      </x:c>
    </x:row>
    <x:row r="113">
      <x:c r="A113" t="str">
        <x:v>ORD-1109</x:v>
      </x:c>
      <x:c r="B113" t="str">
        <x:v>Elena Smirnova</x:v>
      </x:c>
      <x:c r="C113" t="str">
        <x:v>elena.smirnova109@gmail.com</x:v>
      </x:c>
      <x:c r="D113" t="str">
        <x:v>+372 568 6561</x:v>
      </x:c>
      <x:c r="E113" t="str">
        <x:v>Helsinki</x:v>
      </x:c>
      <x:c r="F113" t="str">
        <x:v>2026-04-27</x:v>
      </x:c>
      <x:c r="G113" t="str">
        <x:v>Yoga Mat</x:v>
      </x:c>
      <x:c r="H113" t="str">
        <x:v>Sports</x:v>
      </x:c>
      <x:c r="I113" t="str">
        <x:v>63.58</x:v>
      </x:c>
      <x:c r="J113" t="str">
        <x:v>Canceled</x:v>
      </x:c>
    </x:row>
    <x:row r="114">
      <x:c r="A114" t="str">
        <x:v>ORD-1110</x:v>
      </x:c>
      <x:c r="B114" t="str">
        <x:v>Alina Fedorova</x:v>
      </x:c>
      <x:c r="C114" t="str">
        <x:v>alina.fedorova110@mail.com</x:v>
      </x:c>
      <x:c r="D114" t="str">
        <x:v>(+372) 598 8809</x:v>
      </x:c>
      <x:c r="E114" t="str">
        <x:v>Warsaw</x:v>
      </x:c>
      <x:c r="F114" t="str">
        <x:v>14/01/2026</x:v>
      </x:c>
      <x:c r="G114" t="str">
        <x:v>Wireless Mouse</x:v>
      </x:c>
      <x:c r="H114" t="str">
        <x:v>Electronics</x:v>
      </x:c>
      <x:c r="I114" t="str">
        <x:v>81,73</x:v>
      </x:c>
      <x:c r="J114" t="str">
        <x:v>cancelled</x:v>
      </x:c>
    </x:row>
    <x:row r="115">
      <x:c r="A115" t="str">
        <x:v>ORD-1111</x:v>
      </x:c>
      <x:c r="B115" t="str">
        <x:v>  ANNA IVANOVA </x:v>
      </x:c>
      <x:c r="C115" t="str">
        <x:v>anna.ivanova111@example.com</x:v>
      </x:c>
      <x:c r="D115" t="str">
        <x:v>+372-555-7242</x:v>
      </x:c>
      <x:c r="E115" t="str">
        <x:v>Tallinn</x:v>
      </x:c>
      <x:c r="F115" t="str">
        <x:v>14/04/2026</x:v>
      </x:c>
      <x:c r="G115" t="str">
        <x:v>Yoga Mat</x:v>
      </x:c>
      <x:c r="H115" t="str">
        <x:v>Sports</x:v>
      </x:c>
      <x:c r="I115" t="str">
        <x:v>€111.88</x:v>
      </x:c>
      <x:c r="J115" t="str">
        <x:v>cancelled</x:v>
      </x:c>
    </x:row>
    <x:row r="116">
      <x:c r="A116" t="str">
        <x:v>ORD-1112</x:v>
      </x:c>
      <x:c r="B116" t="str">
        <x:v>Elena Smirnova</x:v>
      </x:c>
      <x:c r="C116" t="str">
        <x:v>elena.smirnova112@example.com</x:v>
      </x:c>
      <x:c r="D116" t="str">
        <x:v>+372-520-1538</x:v>
      </x:c>
      <x:c r="E116" t="str">
        <x:v>Warsaw</x:v>
      </x:c>
      <x:c r="F116" t="str">
        <x:v>06/02/2026</x:v>
      </x:c>
      <x:c r="G116" t="str">
        <x:v>Water Bottle</x:v>
      </x:c>
      <x:c r="H116" t="str">
        <x:v>Sports</x:v>
      </x:c>
      <x:c r="I116" t="str">
        <x:v>51,13</x:v>
      </x:c>
      <x:c r="J116" t="str">
        <x:v>refunded</x:v>
      </x:c>
    </x:row>
    <x:row r="117">
      <x:c r="A117" t="str">
        <x:v>ORD-1113</x:v>
      </x:c>
      <x:c r="B117" t="str">
        <x:v>Elena Smirnova</x:v>
      </x:c>
      <x:c r="C117" t="str">
        <x:v>elena.smirnova113@gmail.com</x:v>
      </x:c>
      <x:c r="D117" t="str">
        <x:v>(+372) 581 7715</x:v>
      </x:c>
      <x:c r="E117" t="str">
        <x:v>Helsinki</x:v>
      </x:c>
      <x:c r="F117" t="str">
        <x:v>13/05/2026</x:v>
      </x:c>
      <x:c r="G117" t="str">
        <x:v>Wireless Mouse</x:v>
      </x:c>
      <x:c r="H117" t="str">
        <x:v>Electronics</x:v>
      </x:c>
      <x:c r="I117" t="str">
        <x:v>€54.18</x:v>
      </x:c>
      <x:c r="J117" t="str">
        <x:v>Pending </x:v>
      </x:c>
    </x:row>
    <x:row r="118">
      <x:c r="A118" t="str">
        <x:v>ORD-1114</x:v>
      </x:c>
      <x:c r="B118" t="str">
        <x:v>Nina Volkova</x:v>
      </x:c>
      <x:c r="C118" t="str">
        <x:v>nina.volkova114@mail.com</x:v>
      </x:c>
      <x:c r="D118" t="str">
        <x:v>+372 528 3977</x:v>
      </x:c>
      <x:c r="E118" t="str">
        <x:v>Warsaw</x:v>
      </x:c>
      <x:c r="F118" t="str">
        <x:v>18/02/2026</x:v>
      </x:c>
      <x:c r="G118" t="str">
        <x:v>Coffee Beans</x:v>
      </x:c>
      <x:c r="H118" t="str">
        <x:v>Food</x:v>
      </x:c>
      <x:c r="I118" t="str">
        <x:v> 15.33 </x:v>
      </x:c>
      <x:c r="J118" t="str">
        <x:v>Paid</x:v>
      </x:c>
    </x:row>
    <x:row r="119">
      <x:c r="A119" t="str">
        <x:v>ORD-1115</x:v>
      </x:c>
      <x:c r="B119" t="str">
        <x:v>Elena Smirnova</x:v>
      </x:c>
      <x:c r="C119" t="str">
        <x:v>elena.smirnova115@gmail.com</x:v>
      </x:c>
      <x:c r="D119" t="str">
        <x:v>+372-538-3290</x:v>
      </x:c>
      <x:c r="E119" t="str">
        <x:v>Tartu</x:v>
      </x:c>
      <x:c r="F119" t="str">
        <x:v>2026-03-20</x:v>
      </x:c>
      <x:c r="G119" t="str">
        <x:v>Yoga Mat</x:v>
      </x:c>
      <x:c r="H119" t="str">
        <x:v>Sports</x:v>
      </x:c>
      <x:c r="I119" t="str">
        <x:v>€111.6</x:v>
      </x:c>
      <x:c r="J119" t="str">
        <x:v>Canceled</x:v>
      </x:c>
    </x:row>
    <x:row r="120">
      <x:c r="A120" t="str">
        <x:v>ORD-1116</x:v>
      </x:c>
      <x:c r="B120" t="str">
        <x:v>Irina Popova</x:v>
      </x:c>
      <x:c r="C120" t="str">
        <x:v>irina.popova116@gmail.com</x:v>
      </x:c>
      <x:c r="D120" t="str">
        <x:v>(+372) 594 1066</x:v>
      </x:c>
      <x:c r="E120" t="str">
        <x:v>Helsinki</x:v>
      </x:c>
      <x:c r="F120" t="str">
        <x:v>01/05/2026</x:v>
      </x:c>
      <x:c r="G120" t="str">
        <x:v>Desk Lamp</x:v>
      </x:c>
      <x:c r="H120" t="str">
        <x:v>Home</x:v>
      </x:c>
      <x:c r="I120" t="str">
        <x:v>145,67</x:v>
      </x:c>
      <x:c r="J120" t="str">
        <x:v>refunded</x:v>
      </x:c>
    </x:row>
    <x:row r="121">
      <x:c r="A121" t="str">
        <x:v>ORD-1117</x:v>
      </x:c>
      <x:c r="B121" t="str">
        <x:v>  MARIA PETROVA </x:v>
      </x:c>
      <x:c r="C121" t="str">
        <x:v>maria.petrova117@gmail.com</x:v>
      </x:c>
      <x:c r="D121" t="str">
        <x:v>(+372) 569 4828</x:v>
      </x:c>
      <x:c r="E121" t="str">
        <x:v>Vilnius</x:v>
      </x:c>
      <x:c r="F121" t="str">
        <x:v>2026-04-29</x:v>
      </x:c>
      <x:c r="G121" t="str">
        <x:v>Water Bottle</x:v>
      </x:c>
      <x:c r="H121" t="str">
        <x:v>Sports</x:v>
      </x:c>
      <x:c r="I121" t="str">
        <x:v>57,49</x:v>
      </x:c>
      <x:c r="J121" t="str">
        <x:v>Paid</x:v>
      </x:c>
    </x:row>
    <x:row r="122">
      <x:c r="A122" t="str">
        <x:v>ORD-1118</x:v>
      </x:c>
      <x:c r="B122" t="str">
        <x:v>Anna Ivanova</x:v>
      </x:c>
      <x:c r="C122" t="str">
        <x:v>anna.ivanova118@gmail.com</x:v>
      </x:c>
      <x:c r="D122" t="str">
        <x:v>+372 558 0773</x:v>
      </x:c>
      <x:c r="E122" t="str">
        <x:v>Tallinn</x:v>
      </x:c>
      <x:c r="F122" t="str">
        <x:v>01-26-2026</x:v>
      </x:c>
      <x:c r="G122" t="str">
        <x:v>Coffee Beans</x:v>
      </x:c>
      <x:c r="H122" t="str">
        <x:v>Food</x:v>
      </x:c>
      <x:c r="I122" t="str">
        <x:v>53,07</x:v>
      </x:c>
      <x:c r="J122" t="str">
        <x:v>cancelled</x:v>
      </x:c>
    </x:row>
    <x:row r="123">
      <x:c r="A123" t="str">
        <x:v>ORD-1119</x:v>
      </x:c>
      <x:c r="B123" t="str">
        <x:v>Sofia Morozova</x:v>
      </x:c>
      <x:c r="C123" t="str">
        <x:v>sofia.morozova119@example.com</x:v>
      </x:c>
      <x:c r="D123" t="str">
        <x:v>+372-558-2417</x:v>
      </x:c>
      <x:c r="E123" t="str">
        <x:v>vilnius</x:v>
      </x:c>
      <x:c r="F123" t="str">
        <x:v>05-07-2026</x:v>
      </x:c>
      <x:c r="G123" t="str">
        <x:v>Water Bottle</x:v>
      </x:c>
      <x:c r="H123" t="str">
        <x:v>Sports</x:v>
      </x:c>
      <x:c r="I123" t="str">
        <x:v>38.47</x:v>
      </x:c>
      <x:c r="J123" t="str">
        <x:v>REFUNDED</x:v>
      </x:c>
    </x:row>
    <x:row r="124">
      <x:c r="A124" t="str">
        <x:v>ORD-1120</x:v>
      </x:c>
      <x:c r="B124" t="str">
        <x:v>Irina Popova</x:v>
      </x:c>
      <x:c r="C124" t="str">
        <x:v>irina.popova120@mail.com</x:v>
      </x:c>
      <x:c r="D124" t="str">
        <x:v>(+372) 544 3627</x:v>
      </x:c>
      <x:c r="E124" t="str">
        <x:v>riga</x:v>
      </x:c>
      <x:c r="F124" t="str">
        <x:v>02-07-2026</x:v>
      </x:c>
      <x:c r="G124" t="str">
        <x:v>Notebook A5</x:v>
      </x:c>
      <x:c r="H124" t="str">
        <x:v>Office</x:v>
      </x:c>
      <x:c r="I124" t="str">
        <x:v>14.47</x:v>
      </x:c>
      <x:c r="J124" t="str">
        <x:v>Canceled</x:v>
      </x:c>
    </x:row>
    <x:row r="125">
      <x:c r="A125" t="str">
        <x:v>ORD-1121</x:v>
      </x:c>
      <x:c r="B125" t="str">
        <x:v>  NINA VOLKOVA </x:v>
      </x:c>
      <x:c r="C125" t="str">
        <x:v>nina.volkova121@example.com</x:v>
      </x:c>
      <x:c r="D125" t="str">
        <x:v>+372-576-4396</x:v>
      </x:c>
      <x:c r="E125" t="str">
        <x:v>riga</x:v>
      </x:c>
      <x:c r="F125" t="str">
        <x:v>23/02/2026</x:v>
      </x:c>
      <x:c r="G125" t="str">
        <x:v>Water Bottle</x:v>
      </x:c>
      <x:c r="H125" t="str">
        <x:v>Sports</x:v>
      </x:c>
      <x:c r="I125" t="str">
        <x:v>€34.42</x:v>
      </x:c>
      <x:c r="J125" t="str">
        <x:v>paid</x:v>
      </x:c>
    </x:row>
    <x:row r="126">
      <x:c r="A126" t="str">
        <x:v>ORD-1122</x:v>
      </x:c>
      <x:c r="B126" t="str">
        <x:v>Maria Petrova</x:v>
      </x:c>
      <x:c r="C126" t="str">
        <x:v>maria.petrova122@example.com</x:v>
      </x:c>
      <x:c r="D126" t="str">
        <x:v>+372-585-4113</x:v>
      </x:c>
      <x:c r="E126" t="str">
        <x:v>Tartu</x:v>
      </x:c>
      <x:c r="F126" t="str">
        <x:v>2026-04-06</x:v>
      </x:c>
      <x:c r="G126" t="str">
        <x:v>Water Bottle</x:v>
      </x:c>
      <x:c r="H126" t="str">
        <x:v>Sports</x:v>
      </x:c>
      <x:c r="I126" t="str">
        <x:v> 81.72 </x:v>
      </x:c>
      <x:c r="J126" t="str">
        <x:v>cancelled</x:v>
      </x:c>
    </x:row>
    <x:row r="127">
      <x:c r="A127" t="str">
        <x:v>ORD-1123</x:v>
      </x:c>
      <x:c r="B127" t="str">
        <x:v>  ALINA FEDOROVA </x:v>
      </x:c>
      <x:c r="C127" t="str">
        <x:v> ALINA.FEDOROVA123@GMAIL.COM </x:v>
      </x:c>
      <x:c r="D127" t="str">
        <x:v>+372 552 0183</x:v>
      </x:c>
      <x:c r="E127" t="str">
        <x:v>Warsaw</x:v>
      </x:c>
      <x:c r="F127" t="str">
        <x:v>02-05-2026</x:v>
      </x:c>
      <x:c r="G127" t="str">
        <x:v>Desk Lamp</x:v>
      </x:c>
      <x:c r="H127" t="str">
        <x:v>Home</x:v>
      </x:c>
      <x:c r="I127" t="str">
        <x:v> 105.0 </x:v>
      </x:c>
      <x:c r="J127" t="str">
        <x:v>REFUNDED</x:v>
      </x:c>
    </x:row>
    <x:row r="128">
      <x:c r="A128" t="str">
        <x:v>ORD-1124</x:v>
      </x:c>
      <x:c r="B128" t="str">
        <x:v>Irina Popova</x:v>
      </x:c>
      <x:c r="C128" t="str">
        <x:v>irina.popova124@mail.com</x:v>
      </x:c>
      <x:c r="D128" t="str">
        <x:v>(+372) 516 9431</x:v>
      </x:c>
      <x:c r="E128" t="str">
        <x:v>Warsaw</x:v>
      </x:c>
      <x:c r="F128" t="str">
        <x:v>03-20-2026</x:v>
      </x:c>
      <x:c r="G128" t="str">
        <x:v>Premium Tea</x:v>
      </x:c>
      <x:c r="H128" t="str">
        <x:v>Food</x:v>
      </x:c>
      <x:c r="I128" t="str">
        <x:v>€38.08</x:v>
      </x:c>
      <x:c r="J128" t="str">
        <x:v>paid</x:v>
      </x:c>
    </x:row>
    <x:row r="129">
      <x:c r="A129" t="str">
        <x:v>ORD-1125</x:v>
      </x:c>
      <x:c r="B129" t="str">
        <x:v>Olga Sokolova</x:v>
      </x:c>
      <x:c r="C129" t="str">
        <x:v>olga.sokolova125@gmail.com</x:v>
      </x:c>
      <x:c r="D129" t="str">
        <x:v>(+372) 536 8186</x:v>
      </x:c>
      <x:c r="E129" t="str">
        <x:v>Tartu</x:v>
      </x:c>
      <x:c r="F129" t="str">
        <x:v>2026-01-29</x:v>
      </x:c>
      <x:c r="G129" t="str">
        <x:v>Notebook A5</x:v>
      </x:c>
      <x:c r="H129" t="str">
        <x:v>Office</x:v>
      </x:c>
      <x:c r="I129" t="str">
        <x:v>4.64</x:v>
      </x:c>
      <x:c r="J129" t="str">
        <x:v>REFUNDED</x:v>
      </x:c>
    </x:row>
    <x:row r="130">
      <x:c r="A130" t="str">
        <x:v>ORD-1126</x:v>
      </x:c>
      <x:c r="B130" t="str">
        <x:v>Alina Fedorova</x:v>
      </x:c>
      <x:c r="C130" t="str">
        <x:v> ALINA.FEDOROVA126@MAIL.COM </x:v>
      </x:c>
      <x:c r="D130" t="str">
        <x:v>(+372) 540 3638</x:v>
      </x:c>
      <x:c r="E130" t="str">
        <x:v>tartu</x:v>
      </x:c>
      <x:c r="F130" t="str">
        <x:v>02-19-2026</x:v>
      </x:c>
      <x:c r="G130" t="str">
        <x:v>Premium Tea</x:v>
      </x:c>
      <x:c r="H130" t="str">
        <x:v>Food</x:v>
      </x:c>
      <x:c r="I130" t="str">
        <x:v>€32.0</x:v>
      </x:c>
      <x:c r="J130" t="str">
        <x:v>Paid</x:v>
      </x:c>
    </x:row>
    <x:row r="131">
      <x:c r="A131" t="str">
        <x:v>ORD-1127</x:v>
      </x:c>
      <x:c r="B131" t="str">
        <x:v>  NINA VOLKOVA </x:v>
      </x:c>
      <x:c r="C131" t="str">
        <x:v>nina.volkova127@mail.com</x:v>
      </x:c>
      <x:c r="D131" t="str">
        <x:v>+372 591 8790</x:v>
      </x:c>
      <x:c r="E131" t="str">
        <x:v>Helsinki</x:v>
      </x:c>
      <x:c r="F131" t="str">
        <x:v>01-12-2026</x:v>
      </x:c>
      <x:c r="G131" t="str">
        <x:v>Premium Tea</x:v>
      </x:c>
      <x:c r="H131" t="str">
        <x:v>Food</x:v>
      </x:c>
      <x:c r="I131" t="str">
        <x:v>€20.92</x:v>
      </x:c>
      <x:c r="J131" t="str">
        <x:v>Canceled</x:v>
      </x:c>
    </x:row>
    <x:row r="132">
      <x:c r="A132" t="str">
        <x:v>ORD-1128</x:v>
      </x:c>
      <x:c r="B132" t="str">
        <x:v>Irina Popova</x:v>
      </x:c>
      <x:c r="C132" t="str">
        <x:v>irina.popova128@mail.com</x:v>
      </x:c>
      <x:c r="D132" t="str">
        <x:v>(+372) 512 4323</x:v>
      </x:c>
      <x:c r="E132" t="str">
        <x:v>Riga</x:v>
      </x:c>
      <x:c r="F132" t="str">
        <x:v>03-14-2026</x:v>
      </x:c>
      <x:c r="G132" t="str">
        <x:v>Coffee Beans</x:v>
      </x:c>
      <x:c r="H132" t="str">
        <x:v>Food</x:v>
      </x:c>
      <x:c r="I132" t="str">
        <x:v>57.7</x:v>
      </x:c>
      <x:c r="J132" t="str">
        <x:v>paid</x:v>
      </x:c>
    </x:row>
    <x:row r="133">
      <x:c r="A133" t="str">
        <x:v>ORD-1129</x:v>
      </x:c>
      <x:c r="B133" t="str">
        <x:v>  ANNA IVANOVA </x:v>
      </x:c>
      <x:c r="C133" t="str">
        <x:v> ANNA.IVANOVA129@EXAMPLE.COM </x:v>
      </x:c>
      <x:c r="D133" t="str">
        <x:v>+372-598-7216</x:v>
      </x:c>
      <x:c r="E133" t="str">
        <x:v>Warsaw</x:v>
      </x:c>
      <x:c r="F133" t="str">
        <x:v>01-13-2026</x:v>
      </x:c>
      <x:c r="G133" t="str">
        <x:v>Wireless Mouse</x:v>
      </x:c>
      <x:c r="H133" t="str">
        <x:v>Electronics</x:v>
      </x:c>
      <x:c r="I133" t="str">
        <x:v>111,06</x:v>
      </x:c>
      <x:c r="J133" t="str">
        <x:v>REFUNDED</x:v>
      </x:c>
    </x:row>
    <x:row r="134">
      <x:c r="A134" t="str">
        <x:v>ORD-1130</x:v>
      </x:c>
      <x:c r="B134" t="str">
        <x:v>Alina Fedorova</x:v>
      </x:c>
      <x:c r="C134" t="str">
        <x:v>alina.fedorova130@mail.com</x:v>
      </x:c>
      <x:c r="D134" t="str">
        <x:v>+372-519-6571</x:v>
      </x:c>
      <x:c r="E134" t="str">
        <x:v>tartu</x:v>
      </x:c>
      <x:c r="F134" t="str">
        <x:v>05-31-2026</x:v>
      </x:c>
      <x:c r="G134" t="str">
        <x:v>Wireless Mouse</x:v>
      </x:c>
      <x:c r="H134" t="str">
        <x:v>Electronics</x:v>
      </x:c>
      <x:c r="I134" t="str">
        <x:v>€76.24</x:v>
      </x:c>
      <x:c r="J134" t="str">
        <x:v>REFUNDED</x:v>
      </x:c>
    </x:row>
    <x:row r="135">
      <x:c r="A135" t="str">
        <x:v>ORD-1131</x:v>
      </x:c>
      <x:c r="B135" t="str">
        <x:v>  KATE BROWN </x:v>
      </x:c>
      <x:c r="C135" t="str">
        <x:v> KATE.BROWN131@MAIL.COM </x:v>
      </x:c>
      <x:c r="D135" t="str">
        <x:v>+372-594-3977</x:v>
      </x:c>
      <x:c r="E135" t="str">
        <x:v>Vilnius</x:v>
      </x:c>
      <x:c r="F135" t="str">
        <x:v>11/03/2026</x:v>
      </x:c>
      <x:c r="G135" t="str">
        <x:v>Premium Tea</x:v>
      </x:c>
      <x:c r="H135" t="str">
        <x:v>Food</x:v>
      </x:c>
      <x:c r="I135" t="str">
        <x:v>11.39</x:v>
      </x:c>
      <x:c r="J135" t="str">
        <x:v>Paid</x:v>
      </x:c>
    </x:row>
    <x:row r="136">
      <x:c r="A136" t="str">
        <x:v>ORD-1132</x:v>
      </x:c>
      <x:c r="B136" t="str">
        <x:v>Daria Kuznetsova</x:v>
      </x:c>
      <x:c r="C136" t="str">
        <x:v>daria.kuznetsova132@mail.com</x:v>
      </x:c>
      <x:c r="D136" t="str">
        <x:v>+372 588 5889</x:v>
      </x:c>
      <x:c r="E136" t="str">
        <x:v>Helsinki</x:v>
      </x:c>
      <x:c r="F136" t="str">
        <x:v>2026-04-27</x:v>
      </x:c>
      <x:c r="G136" t="str">
        <x:v>Yoga Mat</x:v>
      </x:c>
      <x:c r="H136" t="str">
        <x:v>Sports</x:v>
      </x:c>
      <x:c r="I136" t="str">
        <x:v>87.16</x:v>
      </x:c>
      <x:c r="J136" t="str">
        <x:v>Pending </x:v>
      </x:c>
    </x:row>
    <x:row r="137">
      <x:c r="A137" t="str">
        <x:v>ORD-1133</x:v>
      </x:c>
      <x:c r="B137" t="str">
        <x:v>Alina Fedorova</x:v>
      </x:c>
      <x:c r="C137" t="str">
        <x:v>alina.fedorova133@example.com</x:v>
      </x:c>
      <x:c r="D137" t="str">
        <x:v>(+372) 552 0824</x:v>
      </x:c>
      <x:c r="E137" t="str">
        <x:v>Helsinki</x:v>
      </x:c>
      <x:c r="F137" t="str">
        <x:v>2026-03-01</x:v>
      </x:c>
      <x:c r="G137" t="str">
        <x:v>Premium Tea</x:v>
      </x:c>
      <x:c r="H137" t="str">
        <x:v>Food</x:v>
      </x:c>
      <x:c r="I137" t="str">
        <x:v> 36.77 </x:v>
      </x:c>
      <x:c r="J137" t="str">
        <x:v>Canceled</x:v>
      </x:c>
    </x:row>
    <x:row r="138">
      <x:c r="A138" t="str">
        <x:v>ORD-1134</x:v>
      </x:c>
      <x:c r="B138" t="str">
        <x:v>Anna Ivanova</x:v>
      </x:c>
      <x:c r="C138" t="str">
        <x:v>anna.ivanova134@mail.com</x:v>
      </x:c>
      <x:c r="D138" t="str">
        <x:v>+372-537-9563</x:v>
      </x:c>
      <x:c r="E138" t="str">
        <x:v>Vilnius</x:v>
      </x:c>
      <x:c r="F138" t="str">
        <x:v>03-12-2026</x:v>
      </x:c>
      <x:c r="G138" t="str">
        <x:v>Water Bottle</x:v>
      </x:c>
      <x:c r="H138" t="str">
        <x:v>Sports</x:v>
      </x:c>
      <x:c r="I138" t="str">
        <x:v>€52.76</x:v>
      </x:c>
      <x:c r="J138" t="str">
        <x:v>cancelled</x:v>
      </x:c>
    </x:row>
    <x:row r="139">
      <x:c r="A139" t="str">
        <x:v>ORD-1135</x:v>
      </x:c>
      <x:c r="B139" t="str">
        <x:v>Maria Petrova</x:v>
      </x:c>
      <x:c r="C139" t="str">
        <x:v>maria.petrova135@mail.com</x:v>
      </x:c>
      <x:c r="D139" t="str">
        <x:v>+372-582-1337</x:v>
      </x:c>
      <x:c r="E139" t="str">
        <x:v>Vilnius</x:v>
      </x:c>
      <x:c r="F139" t="str">
        <x:v>03-18-2026</x:v>
      </x:c>
      <x:c r="G139" t="str">
        <x:v>USB-C Cable</x:v>
      </x:c>
      <x:c r="H139" t="str">
        <x:v>Electronics</x:v>
      </x:c>
      <x:c r="I139" t="str">
        <x:v>€22.31</x:v>
      </x:c>
      <x:c r="J139" t="str">
        <x:v> pending</x:v>
      </x:c>
    </x:row>
    <x:row r="140">
      <x:c r="A140" t="str">
        <x:v>ORD-1136</x:v>
      </x:c>
      <x:c r="B140" t="str">
        <x:v>Irina Popova</x:v>
      </x:c>
      <x:c r="C140" t="str">
        <x:v>irina.popova136@mail.com</x:v>
      </x:c>
      <x:c r="D140" t="str">
        <x:v>+372 551 1846</x:v>
      </x:c>
      <x:c r="E140" t="str">
        <x:v>Tartu</x:v>
      </x:c>
      <x:c r="F140" t="str">
        <x:v>23/04/2026</x:v>
      </x:c>
      <x:c r="G140" t="str">
        <x:v>Coffee Beans</x:v>
      </x:c>
      <x:c r="H140" t="str">
        <x:v>Food</x:v>
      </x:c>
      <x:c r="I140" t="str">
        <x:v>82,93</x:v>
      </x:c>
      <x:c r="J140" t="str">
        <x:v>refunded</x:v>
      </x:c>
    </x:row>
    <x:row r="141">
      <x:c r="A141" t="str">
        <x:v>ORD-1137</x:v>
      </x:c>
      <x:c r="B141" t="str">
        <x:v>  ELENA SMIRNOVA </x:v>
      </x:c>
      <x:c r="C141" t="str">
        <x:v> ELENA.SMIRNOVA137@EXAMPLE.COM </x:v>
      </x:c>
      <x:c r="D141" t="str">
        <x:v>+372 583 2928</x:v>
      </x:c>
      <x:c r="E141" t="str">
        <x:v>Tallinn</x:v>
      </x:c>
      <x:c r="F141" t="str">
        <x:v>23/04/2026</x:v>
      </x:c>
      <x:c r="G141" t="str">
        <x:v>USB-C Cable</x:v>
      </x:c>
      <x:c r="H141" t="str">
        <x:v>Electronics</x:v>
      </x:c>
      <x:c r="I141" t="str">
        <x:v> 42.15 </x:v>
      </x:c>
      <x:c r="J141" t="str">
        <x:v> pending</x:v>
      </x:c>
    </x:row>
    <x:row r="142">
      <x:c r="A142" t="str">
        <x:v>ORD-1138</x:v>
      </x:c>
      <x:c r="B142" t="str">
        <x:v>  NINA VOLKOVA </x:v>
      </x:c>
      <x:c r="C142" t="str">
        <x:v>nina.volkova138@mail.com</x:v>
      </x:c>
      <x:c r="D142" t="str">
        <x:v>+372 580 7550</x:v>
      </x:c>
      <x:c r="E142" t="str">
        <x:v>tallinn</x:v>
      </x:c>
      <x:c r="F142" t="str">
        <x:v>05-04-2026</x:v>
      </x:c>
      <x:c r="G142" t="str">
        <x:v>Water Bottle</x:v>
      </x:c>
      <x:c r="H142" t="str">
        <x:v>Sports</x:v>
      </x:c>
      <x:c r="I142" t="str">
        <x:v>€71.89</x:v>
      </x:c>
      <x:c r="J142" t="str">
        <x:v>REFUNDED</x:v>
      </x:c>
    </x:row>
    <x:row r="143">
      <x:c r="A143" t="str">
        <x:v>ORD-1139</x:v>
      </x:c>
      <x:c r="B143" t="str">
        <x:v>  MARIA PETROVA </x:v>
      </x:c>
      <x:c r="C143" t="str">
        <x:v>maria.petrova139@gmail.com</x:v>
      </x:c>
      <x:c r="D143" t="str">
        <x:v>+372 582 1229</x:v>
      </x:c>
      <x:c r="E143" t="str">
        <x:v>Helsinki</x:v>
      </x:c>
      <x:c r="F143" t="str">
        <x:v>21/03/2026</x:v>
      </x:c>
      <x:c r="G143" t="str">
        <x:v>USB-C Cable</x:v>
      </x:c>
      <x:c r="H143" t="str">
        <x:v>Electronics</x:v>
      </x:c>
      <x:c r="I143" t="str">
        <x:v> 22.63 </x:v>
      </x:c>
      <x:c r="J143" t="str">
        <x:v>Paid</x:v>
      </x:c>
    </x:row>
    <x:row r="144">
      <x:c r="A144" t="str">
        <x:v>ORD-1140</x:v>
      </x:c>
      <x:c r="B144" t="str">
        <x:v>Alina Fedorova</x:v>
      </x:c>
      <x:c r="C144" t="str">
        <x:v>alina.fedorova140@mail.com</x:v>
      </x:c>
      <x:c r="D144" t="str">
        <x:v>(+372) 584 6910</x:v>
      </x:c>
      <x:c r="E144" t="str">
        <x:v>tartu</x:v>
      </x:c>
      <x:c r="F144" t="str">
        <x:v>2026-05-14</x:v>
      </x:c>
      <x:c r="G144" t="str">
        <x:v>Yoga Mat</x:v>
      </x:c>
      <x:c r="H144" t="str">
        <x:v>Sports</x:v>
      </x:c>
      <x:c r="I144" t="str">
        <x:v>63.77</x:v>
      </x:c>
      <x:c r="J144" t="str">
        <x:v>Canceled</x:v>
      </x:c>
    </x:row>
    <x:row r="145">
      <x:c r="A145" t="str">
        <x:v>ORD-1141</x:v>
      </x:c>
      <x:c r="B145" t="str">
        <x:v>Kate Brown</x:v>
      </x:c>
      <x:c r="C145" t="str">
        <x:v>kate.brown141@example.com</x:v>
      </x:c>
      <x:c r="D145" t="str">
        <x:v>(+372) 560 8167</x:v>
      </x:c>
      <x:c r="E145" t="str">
        <x:v>Warsaw</x:v>
      </x:c>
      <x:c r="F145" t="str">
        <x:v>09/02/2026</x:v>
      </x:c>
      <x:c r="G145" t="str">
        <x:v>Wireless Mouse</x:v>
      </x:c>
      <x:c r="H145" t="str">
        <x:v>Electronics</x:v>
      </x:c>
      <x:c r="I145" t="str">
        <x:v>68,56</x:v>
      </x:c>
      <x:c r="J145" t="str">
        <x:v> pending</x:v>
      </x:c>
    </x:row>
    <x:row r="146">
      <x:c r="A146" t="str">
        <x:v>ORD-1142</x:v>
      </x:c>
      <x:c r="B146" t="str">
        <x:v>Alina Fedorova</x:v>
      </x:c>
      <x:c r="C146" t="str">
        <x:v>alina.fedorova142@example.com</x:v>
      </x:c>
      <x:c r="D146" t="str">
        <x:v>(+372) 588 0280</x:v>
      </x:c>
      <x:c r="E146" t="str">
        <x:v>Warsaw</x:v>
      </x:c>
      <x:c r="F146" t="str">
        <x:v>2026-03-27</x:v>
      </x:c>
      <x:c r="G146" t="str">
        <x:v>Coffee Beans</x:v>
      </x:c>
      <x:c r="H146" t="str">
        <x:v>Food</x:v>
      </x:c>
      <x:c r="I146" t="str">
        <x:v>67,18</x:v>
      </x:c>
      <x:c r="J146" t="str">
        <x:v>Paid</x:v>
      </x:c>
    </x:row>
    <x:row r="147">
      <x:c r="A147" t="str">
        <x:v>ORD-1143</x:v>
      </x:c>
      <x:c r="B147" t="str">
        <x:v>Maria Petrova</x:v>
      </x:c>
      <x:c r="C147" t="str">
        <x:v>maria.petrova143@example.com</x:v>
      </x:c>
      <x:c r="D147" t="str">
        <x:v>(+372) 571 3853</x:v>
      </x:c>
      <x:c r="E147" t="str">
        <x:v>Warsaw</x:v>
      </x:c>
      <x:c r="F147" t="str">
        <x:v>21/03/2026</x:v>
      </x:c>
      <x:c r="G147" t="str">
        <x:v>Notebook A5</x:v>
      </x:c>
      <x:c r="H147" t="str">
        <x:v>Office</x:v>
      </x:c>
      <x:c r="I147" t="str">
        <x:v>20.52</x:v>
      </x:c>
      <x:c r="J147" t="str">
        <x:v>PAID</x:v>
      </x:c>
    </x:row>
    <x:row r="148">
      <x:c r="A148" t="str">
        <x:v>ORD-1144</x:v>
      </x:c>
      <x:c r="B148" t="str">
        <x:v>Elena Smirnova</x:v>
      </x:c>
      <x:c r="C148" t="str">
        <x:v> ELENA.SMIRNOVA144@EXAMPLE.COM </x:v>
      </x:c>
      <x:c r="D148" t="str">
        <x:v>+372 556 5163</x:v>
      </x:c>
      <x:c r="E148" t="str">
        <x:v>Tartu</x:v>
      </x:c>
      <x:c r="F148" t="str">
        <x:v>2026-02-10</x:v>
      </x:c>
      <x:c r="G148" t="str">
        <x:v>Yoga Mat</x:v>
      </x:c>
      <x:c r="H148" t="str">
        <x:v>Sports</x:v>
      </x:c>
      <x:c r="I148" t="str">
        <x:v>€52.39</x:v>
      </x:c>
      <x:c r="J148" t="str">
        <x:v>PAID</x:v>
      </x:c>
    </x:row>
    <x:row r="149">
      <x:c r="A149" t="str">
        <x:v>ORD-1145</x:v>
      </x:c>
      <x:c r="B149" t="str">
        <x:v>Daria Kuznetsova</x:v>
      </x:c>
      <x:c r="C149" t="str">
        <x:v>daria.kuznetsova145@gmail.com</x:v>
      </x:c>
      <x:c r="D149" t="str">
        <x:v>+372 569 6302</x:v>
      </x:c>
      <x:c r="E149" t="str">
        <x:v>Vilnius</x:v>
      </x:c>
      <x:c r="F149" t="str">
        <x:v>2026-03-20</x:v>
      </x:c>
      <x:c r="G149" t="str">
        <x:v>Wireless Mouse</x:v>
      </x:c>
      <x:c r="H149" t="str">
        <x:v>Electronics</x:v>
      </x:c>
      <x:c r="I149" t="str">
        <x:v>€141.24</x:v>
      </x:c>
      <x:c r="J149" t="str">
        <x:v>PAID</x:v>
      </x:c>
    </x:row>
    <x:row r="150">
      <x:c r="A150" t="str">
        <x:v>ORD-1146</x:v>
      </x:c>
      <x:c r="B150" t="str">
        <x:v>Daria Kuznetsova</x:v>
      </x:c>
      <x:c r="C150" t="str">
        <x:v>daria.kuznetsova146@example.com</x:v>
      </x:c>
      <x:c r="D150" t="str">
        <x:v>+372-561-7750</x:v>
      </x:c>
      <x:c r="E150" t="str">
        <x:v>Riga</x:v>
      </x:c>
      <x:c r="F150" t="str">
        <x:v>2026-04-10</x:v>
      </x:c>
      <x:c r="G150" t="str">
        <x:v>Desk Lamp</x:v>
      </x:c>
      <x:c r="H150" t="str">
        <x:v>Home</x:v>
      </x:c>
      <x:c r="I150" t="str">
        <x:v>103,29</x:v>
      </x:c>
      <x:c r="J150" t="str">
        <x:v>Canceled</x:v>
      </x:c>
    </x:row>
    <x:row r="151">
      <x:c r="A151" t="str">
        <x:v>ORD-1147</x:v>
      </x:c>
      <x:c r="B151" t="str">
        <x:v>Daria Kuznetsova</x:v>
      </x:c>
      <x:c r="C151" t="str">
        <x:v>daria.kuznetsova147@mail.com</x:v>
      </x:c>
      <x:c r="D151" t="str">
        <x:v>(+372) 587 5625</x:v>
      </x:c>
      <x:c r="E151" t="str">
        <x:v>Vilnius</x:v>
      </x:c>
      <x:c r="F151" t="str">
        <x:v>2026-04-18</x:v>
      </x:c>
      <x:c r="G151" t="str">
        <x:v>Coffee Beans</x:v>
      </x:c>
      <x:c r="H151" t="str">
        <x:v>Food</x:v>
      </x:c>
      <x:c r="I151" t="str">
        <x:v> 43.63 </x:v>
      </x:c>
      <x:c r="J151" t="str">
        <x:v>REFUNDED</x:v>
      </x:c>
    </x:row>
    <x:row r="152">
      <x:c r="A152" t="str">
        <x:v>ORD-1148</x:v>
      </x:c>
      <x:c r="B152" t="str">
        <x:v>Elena Smirnova</x:v>
      </x:c>
      <x:c r="C152" t="str">
        <x:v> ELENA.SMIRNOVA148@GMAIL.COM </x:v>
      </x:c>
      <x:c r="D152" t="str">
        <x:v>+372-556-8438</x:v>
      </x:c>
      <x:c r="E152" t="str">
        <x:v>Helsinki</x:v>
      </x:c>
      <x:c r="F152" t="str">
        <x:v>03-05-2026</x:v>
      </x:c>
      <x:c r="G152" t="str">
        <x:v>Wireless Mouse</x:v>
      </x:c>
      <x:c r="H152" t="str">
        <x:v>Electronics</x:v>
      </x:c>
      <x:c r="I152" t="str">
        <x:v>127.68</x:v>
      </x:c>
      <x:c r="J152" t="str">
        <x:v> pending</x:v>
      </x:c>
    </x:row>
    <x:row r="153">
      <x:c r="A153" t="str">
        <x:v>ORD-1149</x:v>
      </x:c>
      <x:c r="B153" t="str">
        <x:v>  ALINA FEDOROVA </x:v>
      </x:c>
      <x:c r="C153" t="str">
        <x:v>alina.fedorova149@example.com</x:v>
      </x:c>
      <x:c r="D153" t="str">
        <x:v>(+372) 529 6776</x:v>
      </x:c>
      <x:c r="E153" t="str">
        <x:v>Vilnius</x:v>
      </x:c>
      <x:c r="F153" t="str">
        <x:v>2026-03-14</x:v>
      </x:c>
      <x:c r="G153" t="str">
        <x:v>USB-C Cable</x:v>
      </x:c>
      <x:c r="H153" t="str">
        <x:v>Electronics</x:v>
      </x:c>
      <x:c r="I153" t="str">
        <x:v>52.01</x:v>
      </x:c>
      <x:c r="J153" t="str">
        <x:v>Pending </x:v>
      </x:c>
    </x:row>
    <x:row r="154">
      <x:c r="A154" t="str">
        <x:v>ORD-1150</x:v>
      </x:c>
      <x:c r="B154" t="str">
        <x:v>Maria Petrova</x:v>
      </x:c>
      <x:c r="C154" t="str">
        <x:v>maria.petrova150@gmail.com</x:v>
      </x:c>
      <x:c r="D154" t="str">
        <x:v>(+372) 548 3321</x:v>
      </x:c>
      <x:c r="E154" t="str">
        <x:v>Tartu</x:v>
      </x:c>
      <x:c r="F154" t="str">
        <x:v>01-22-2026</x:v>
      </x:c>
      <x:c r="G154" t="str">
        <x:v>Desk Lamp</x:v>
      </x:c>
      <x:c r="H154" t="str">
        <x:v>Home</x:v>
      </x:c>
      <x:c r="I154" t="str">
        <x:v>€159.33</x:v>
      </x:c>
      <x:c r="J154" t="str">
        <x:v>cancelled</x:v>
      </x:c>
    </x:row>
    <x:row r="155">
      <x:c r="A155" t="str">
        <x:v>ORD-1151</x:v>
      </x:c>
      <x:c r="B155" t="str">
        <x:v>  NINA VOLKOVA </x:v>
      </x:c>
      <x:c r="C155" t="str">
        <x:v>nina.volkova151@example.com</x:v>
      </x:c>
      <x:c r="D155" t="str">
        <x:v>+372-550-4582</x:v>
      </x:c>
      <x:c r="E155" t="str">
        <x:v>Helsinki</x:v>
      </x:c>
      <x:c r="F155" t="str">
        <x:v>03-08-2026</x:v>
      </x:c>
      <x:c r="G155" t="str">
        <x:v>Yoga Mat</x:v>
      </x:c>
      <x:c r="H155" t="str">
        <x:v>Sports</x:v>
      </x:c>
      <x:c r="I155" t="str">
        <x:v> 58.91 </x:v>
      </x:c>
      <x:c r="J155" t="str">
        <x:v>Paid</x:v>
      </x:c>
    </x:row>
    <x:row r="156">
      <x:c r="A156" t="str">
        <x:v>ORD-1152</x:v>
      </x:c>
      <x:c r="B156" t="str">
        <x:v>  MARIA PETROVA </x:v>
      </x:c>
      <x:c r="C156" t="str">
        <x:v> MARIA.PETROVA152@EXAMPLE.COM </x:v>
      </x:c>
      <x:c r="D156" t="str">
        <x:v>(+372) 527 8218</x:v>
      </x:c>
      <x:c r="E156" t="str">
        <x:v>Tartu</x:v>
      </x:c>
      <x:c r="F156" t="str">
        <x:v>2026-03-07</x:v>
      </x:c>
      <x:c r="G156" t="str">
        <x:v>Wireless Mouse</x:v>
      </x:c>
      <x:c r="H156" t="str">
        <x:v>Electronics</x:v>
      </x:c>
      <x:c r="I156" t="str">
        <x:v>106.83</x:v>
      </x:c>
      <x:c r="J156" t="str">
        <x:v>PAID</x:v>
      </x:c>
    </x:row>
    <x:row r="157">
      <x:c r="A157" t="str">
        <x:v>ORD-1153</x:v>
      </x:c>
      <x:c r="B157" t="str">
        <x:v>Anna Ivanova</x:v>
      </x:c>
      <x:c r="C157" t="str">
        <x:v>anna.ivanova153@gmail.com</x:v>
      </x:c>
      <x:c r="D157" t="str">
        <x:v>+372-599-5903</x:v>
      </x:c>
      <x:c r="E157" t="str">
        <x:v>Tartu</x:v>
      </x:c>
      <x:c r="F157" t="str">
        <x:v>03-19-2026</x:v>
      </x:c>
      <x:c r="G157" t="str">
        <x:v>Water Bottle</x:v>
      </x:c>
      <x:c r="H157" t="str">
        <x:v>Sports</x:v>
      </x:c>
      <x:c r="I157" t="str">
        <x:v>84,94</x:v>
      </x:c>
      <x:c r="J157" t="str">
        <x:v>Canceled</x:v>
      </x:c>
    </x:row>
    <x:row r="158">
      <x:c r="A158" t="str">
        <x:v>ORD-1154</x:v>
      </x:c>
      <x:c r="B158" t="str">
        <x:v>Olga Sokolova</x:v>
      </x:c>
      <x:c r="C158" t="str">
        <x:v>olga.sokolova154@example.com</x:v>
      </x:c>
      <x:c r="D158" t="str">
        <x:v>(+372) 581 7446</x:v>
      </x:c>
      <x:c r="E158" t="str">
        <x:v>Helsinki</x:v>
      </x:c>
      <x:c r="F158" t="str">
        <x:v>2026-03-18</x:v>
      </x:c>
      <x:c r="G158" t="str">
        <x:v>Notebook A5</x:v>
      </x:c>
      <x:c r="H158" t="str">
        <x:v>Office</x:v>
      </x:c>
      <x:c r="I158" t="str">
        <x:v>€4.88</x:v>
      </x:c>
      <x:c r="J158" t="str">
        <x:v>Canceled</x:v>
      </x:c>
    </x:row>
    <x:row r="159">
      <x:c r="A159" t="str">
        <x:v>ORD-1155</x:v>
      </x:c>
      <x:c r="B159" t="str">
        <x:v>Kate Brown</x:v>
      </x:c>
      <x:c r="C159" t="str">
        <x:v> KATE.BROWN155@EXAMPLE.COM </x:v>
      </x:c>
      <x:c r="D159" t="str">
        <x:v>+372 529 3577</x:v>
      </x:c>
      <x:c r="E159" t="str">
        <x:v>Riga</x:v>
      </x:c>
      <x:c r="F159" t="str">
        <x:v>30/01/2026</x:v>
      </x:c>
      <x:c r="G159" t="str">
        <x:v>Desk Lamp</x:v>
      </x:c>
      <x:c r="H159" t="str">
        <x:v>Home</x:v>
      </x:c>
      <x:c r="I159" t="str">
        <x:v>€175.1</x:v>
      </x:c>
      <x:c r="J159" t="str">
        <x:v>refunded</x:v>
      </x:c>
    </x:row>
    <x:row r="160">
      <x:c r="A160" t="str">
        <x:v>ORD-1156</x:v>
      </x:c>
      <x:c r="B160" t="str">
        <x:v>Kate Brown</x:v>
      </x:c>
      <x:c r="C160" t="str">
        <x:v> KATE.BROWN156@GMAIL.COM </x:v>
      </x:c>
      <x:c r="D160" t="str">
        <x:v>(+372) 532 8109</x:v>
      </x:c>
      <x:c r="E160" t="str">
        <x:v>tartu</x:v>
      </x:c>
      <x:c r="F160" t="str">
        <x:v>05-25-2026</x:v>
      </x:c>
      <x:c r="G160" t="str">
        <x:v>Premium Tea</x:v>
      </x:c>
      <x:c r="H160" t="str">
        <x:v>Food</x:v>
      </x:c>
      <x:c r="I160" t="str">
        <x:v> 58.46 </x:v>
      </x:c>
      <x:c r="J160" t="str">
        <x:v>Paid</x:v>
      </x:c>
    </x:row>
    <x:row r="161">
      <x:c r="A161" t="str">
        <x:v>ORD-1157</x:v>
      </x:c>
      <x:c r="B161" t="str">
        <x:v>Maria Petrova</x:v>
      </x:c>
      <x:c r="C161" t="str">
        <x:v> MARIA.PETROVA157@MAIL.COM </x:v>
      </x:c>
      <x:c r="D161" t="str">
        <x:v>+372-579-0112</x:v>
      </x:c>
      <x:c r="E161" t="str">
        <x:v>Tartu</x:v>
      </x:c>
      <x:c r="F161" t="str">
        <x:v>2026-01-27</x:v>
      </x:c>
      <x:c r="G161" t="str">
        <x:v>Coffee Beans</x:v>
      </x:c>
      <x:c r="H161" t="str">
        <x:v>Food</x:v>
      </x:c>
      <x:c r="I161" t="str">
        <x:v>66,91</x:v>
      </x:c>
      <x:c r="J161" t="str">
        <x:v>refunded</x:v>
      </x:c>
    </x:row>
    <x:row r="162">
      <x:c r="A162" t="str">
        <x:v>ORD-1158</x:v>
      </x:c>
      <x:c r="B162" t="str">
        <x:v>  DARIA KUZNETSOVA </x:v>
      </x:c>
      <x:c r="C162" t="str">
        <x:v>daria.kuznetsova158@example.com</x:v>
      </x:c>
      <x:c r="D162" t="str">
        <x:v>+372 520 6709</x:v>
      </x:c>
      <x:c r="E162" t="str">
        <x:v>Warsaw</x:v>
      </x:c>
      <x:c r="F162" t="str">
        <x:v>04-28-2026</x:v>
      </x:c>
      <x:c r="G162" t="str">
        <x:v>Wireless Mouse</x:v>
      </x:c>
      <x:c r="H162" t="str">
        <x:v>Electronics</x:v>
      </x:c>
      <x:c r="I162" t="str">
        <x:v> 110.97 </x:v>
      </x:c>
      <x:c r="J162" t="str">
        <x:v>paid</x:v>
      </x:c>
    </x:row>
    <x:row r="163">
      <x:c r="A163" t="str">
        <x:v>ORD-1159</x:v>
      </x:c>
      <x:c r="B163" t="str">
        <x:v>Sofia Morozova</x:v>
      </x:c>
      <x:c r="C163" t="str">
        <x:v>sofia.morozova159@gmail.com</x:v>
      </x:c>
      <x:c r="D163" t="str">
        <x:v>+372 583 8553</x:v>
      </x:c>
      <x:c r="E163" t="str">
        <x:v>Riga</x:v>
      </x:c>
      <x:c r="F163" t="str">
        <x:v>2026-01-26</x:v>
      </x:c>
      <x:c r="G163" t="str">
        <x:v>Water Bottle</x:v>
      </x:c>
      <x:c r="H163" t="str">
        <x:v>Sports</x:v>
      </x:c>
      <x:c r="I163" t="str">
        <x:v> 19.38 </x:v>
      </x:c>
      <x:c r="J163" t="str">
        <x:v> pending</x:v>
      </x:c>
    </x:row>
    <x:row r="164">
      <x:c r="A164" t="str">
        <x:v>ORD-1160</x:v>
      </x:c>
      <x:c r="B164" t="str">
        <x:v>  SOFIA MOROZOVA </x:v>
      </x:c>
      <x:c r="C164" t="str">
        <x:v>sofia.morozova160@gmail.com</x:v>
      </x:c>
      <x:c r="D164" t="str">
        <x:v>(+372) 574 6095</x:v>
      </x:c>
      <x:c r="E164" t="str">
        <x:v>Vilnius</x:v>
      </x:c>
      <x:c r="F164" t="str">
        <x:v>11/03/2026</x:v>
      </x:c>
      <x:c r="G164" t="str">
        <x:v>Premium Tea</x:v>
      </x:c>
      <x:c r="H164" t="str">
        <x:v>Food</x:v>
      </x:c>
      <x:c r="I164" t="str">
        <x:v>30,64</x:v>
      </x:c>
      <x:c r="J164" t="str">
        <x:v>cancelled</x:v>
      </x:c>
    </x:row>
    <x:row r="165">
      <x:c r="A165" t="str">
        <x:v>ORD-1161</x:v>
      </x:c>
      <x:c r="B165" t="str">
        <x:v>  SOFIA MOROZOVA </x:v>
      </x:c>
      <x:c r="C165" t="str">
        <x:v>sofia.morozova161@example.com</x:v>
      </x:c>
      <x:c r="D165" t="str">
        <x:v>(+372) 522 0524</x:v>
      </x:c>
      <x:c r="E165" t="str">
        <x:v>Riga</x:v>
      </x:c>
      <x:c r="F165" t="str">
        <x:v>2026-05-03</x:v>
      </x:c>
      <x:c r="G165" t="str">
        <x:v>Notebook A5</x:v>
      </x:c>
      <x:c r="H165" t="str">
        <x:v>Office</x:v>
      </x:c>
      <x:c r="I165" t="str">
        <x:v>€22.37</x:v>
      </x:c>
      <x:c r="J165" t="str">
        <x:v>paid</x:v>
      </x:c>
    </x:row>
    <x:row r="166">
      <x:c r="A166" t="str">
        <x:v>ORD-1162</x:v>
      </x:c>
      <x:c r="B166" t="str">
        <x:v>  SOFIA MOROZOVA </x:v>
      </x:c>
      <x:c r="C166" t="str">
        <x:v> SOFIA.MOROZOVA162@EXAMPLE.COM </x:v>
      </x:c>
      <x:c r="D166" t="str">
        <x:v>(+372) 593 4029</x:v>
      </x:c>
      <x:c r="E166" t="str">
        <x:v>tartu</x:v>
      </x:c>
      <x:c r="F166" t="str">
        <x:v>01-05-2026</x:v>
      </x:c>
      <x:c r="G166" t="str">
        <x:v>Desk Lamp</x:v>
      </x:c>
      <x:c r="H166" t="str">
        <x:v>Home</x:v>
      </x:c>
      <x:c r="I166" t="str">
        <x:v> 146.86 </x:v>
      </x:c>
      <x:c r="J166" t="str">
        <x:v>Canceled</x:v>
      </x:c>
    </x:row>
    <x:row r="167">
      <x:c r="A167" t="str">
        <x:v>ORD-1163</x:v>
      </x:c>
      <x:c r="B167" t="str">
        <x:v>Olga Sokolova</x:v>
      </x:c>
      <x:c r="C167" t="str">
        <x:v>olga.sokolova163@gmail.com</x:v>
      </x:c>
      <x:c r="D167" t="str">
        <x:v>+372-579-2715</x:v>
      </x:c>
      <x:c r="E167" t="str">
        <x:v>tartu</x:v>
      </x:c>
      <x:c r="F167" t="str">
        <x:v>15/04/2026</x:v>
      </x:c>
      <x:c r="G167" t="str">
        <x:v>Desk Lamp</x:v>
      </x:c>
      <x:c r="H167" t="str">
        <x:v>Home</x:v>
      </x:c>
      <x:c r="I167" t="str">
        <x:v>33.18</x:v>
      </x:c>
      <x:c r="J167" t="str">
        <x:v>REFUNDED</x:v>
      </x:c>
    </x:row>
    <x:row r="168">
      <x:c r="A168" t="str">
        <x:v>ORD-1164</x:v>
      </x:c>
      <x:c r="B168" t="str">
        <x:v>Anna Ivanova</x:v>
      </x:c>
      <x:c r="C168" t="str">
        <x:v>anna.ivanova164@example.com</x:v>
      </x:c>
      <x:c r="D168" t="str">
        <x:v>+372-516-1538</x:v>
      </x:c>
      <x:c r="E168" t="str">
        <x:v>Tartu</x:v>
      </x:c>
      <x:c r="F168" t="str">
        <x:v>2026-01-18</x:v>
      </x:c>
      <x:c r="G168" t="str">
        <x:v>Water Bottle</x:v>
      </x:c>
      <x:c r="H168" t="str">
        <x:v>Sports</x:v>
      </x:c>
      <x:c r="I168" t="str">
        <x:v>74,51</x:v>
      </x:c>
      <x:c r="J168" t="str">
        <x:v>Canceled</x:v>
      </x:c>
    </x:row>
    <x:row r="169">
      <x:c r="A169" t="str">
        <x:v>ORD-1165</x:v>
      </x:c>
      <x:c r="B169" t="str">
        <x:v>Sofia Morozova</x:v>
      </x:c>
      <x:c r="C169" t="str">
        <x:v>sofia.morozova165@gmail.com</x:v>
      </x:c>
      <x:c r="D169" t="str">
        <x:v>(+372) 588 9460</x:v>
      </x:c>
      <x:c r="E169" t="str">
        <x:v>Tallinn</x:v>
      </x:c>
      <x:c r="F169" t="str">
        <x:v>2026-01-17</x:v>
      </x:c>
      <x:c r="G169" t="str">
        <x:v>Notebook A5</x:v>
      </x:c>
      <x:c r="H169" t="str">
        <x:v>Office</x:v>
      </x:c>
      <x:c r="I169" t="str">
        <x:v>€5.08</x:v>
      </x:c>
      <x:c r="J169" t="str">
        <x:v>Paid</x:v>
      </x:c>
    </x:row>
    <x:row r="170">
      <x:c r="A170" t="str">
        <x:v>ORD-1166</x:v>
      </x:c>
      <x:c r="B170" t="str">
        <x:v>  KATE BROWN </x:v>
      </x:c>
      <x:c r="C170" t="str">
        <x:v>kate.brown166@example.com</x:v>
      </x:c>
      <x:c r="D170" t="str">
        <x:v>+372-566-9174</x:v>
      </x:c>
      <x:c r="E170" t="str">
        <x:v>Riga</x:v>
      </x:c>
      <x:c r="F170" t="str">
        <x:v>2026-03-25</x:v>
      </x:c>
      <x:c r="G170" t="str">
        <x:v>Water Bottle</x:v>
      </x:c>
      <x:c r="H170" t="str">
        <x:v>Sports</x:v>
      </x:c>
      <x:c r="I170" t="str">
        <x:v>57.83</x:v>
      </x:c>
      <x:c r="J170" t="str">
        <x:v>paid</x:v>
      </x:c>
    </x:row>
    <x:row r="171">
      <x:c r="A171" t="str">
        <x:v>ORD-1167</x:v>
      </x:c>
      <x:c r="B171" t="str">
        <x:v>Kate Brown</x:v>
      </x:c>
      <x:c r="C171" t="str">
        <x:v>kate.brown167@mail.com</x:v>
      </x:c>
      <x:c r="D171" t="str">
        <x:v>+372-579-7858</x:v>
      </x:c>
      <x:c r="E171" t="str">
        <x:v>Vilnius</x:v>
      </x:c>
      <x:c r="F171" t="str">
        <x:v>02-26-2026</x:v>
      </x:c>
      <x:c r="G171" t="str">
        <x:v>Yoga Mat</x:v>
      </x:c>
      <x:c r="H171" t="str">
        <x:v>Sports</x:v>
      </x:c>
      <x:c r="I171" t="str">
        <x:v>€105.75</x:v>
      </x:c>
      <x:c r="J171" t="str">
        <x:v>paid</x:v>
      </x:c>
    </x:row>
    <x:row r="172">
      <x:c r="A172" t="str">
        <x:v>ORD-1168</x:v>
      </x:c>
      <x:c r="B172" t="str">
        <x:v>Olga Sokolova</x:v>
      </x:c>
      <x:c r="C172" t="str">
        <x:v>olga.sokolova168@example.com</x:v>
      </x:c>
      <x:c r="D172" t="str">
        <x:v>+372 552 2249</x:v>
      </x:c>
      <x:c r="E172" t="str">
        <x:v>Helsinki</x:v>
      </x:c>
      <x:c r="F172" t="str">
        <x:v>02-18-2026</x:v>
      </x:c>
      <x:c r="G172" t="str">
        <x:v>USB-C Cable</x:v>
      </x:c>
      <x:c r="H172" t="str">
        <x:v>Electronics</x:v>
      </x:c>
      <x:c r="I172" t="str">
        <x:v> 35.91 </x:v>
      </x:c>
      <x:c r="J172" t="str">
        <x:v>cancelled</x:v>
      </x:c>
    </x:row>
    <x:row r="173">
      <x:c r="A173" t="str">
        <x:v>ORD-1169</x:v>
      </x:c>
      <x:c r="B173" t="str">
        <x:v>Irina Popova</x:v>
      </x:c>
      <x:c r="C173" t="str">
        <x:v> IRINA.POPOVA169@EXAMPLE.COM </x:v>
      </x:c>
      <x:c r="D173" t="str">
        <x:v>(+372) 558 3371</x:v>
      </x:c>
      <x:c r="E173" t="str">
        <x:v>Tallinn</x:v>
      </x:c>
      <x:c r="F173" t="str">
        <x:v>01-18-2026</x:v>
      </x:c>
      <x:c r="G173" t="str">
        <x:v>Premium Tea</x:v>
      </x:c>
      <x:c r="H173" t="str">
        <x:v>Food</x:v>
      </x:c>
      <x:c r="I173" t="str">
        <x:v>€50.77</x:v>
      </x:c>
      <x:c r="J173" t="str">
        <x:v>refunded</x:v>
      </x:c>
    </x:row>
    <x:row r="174">
      <x:c r="A174" t="str">
        <x:v>ORD-1170</x:v>
      </x:c>
      <x:c r="B174" t="str">
        <x:v>Daria Kuznetsova</x:v>
      </x:c>
      <x:c r="C174" t="str">
        <x:v>daria.kuznetsova170@gmail.com</x:v>
      </x:c>
      <x:c r="D174" t="str">
        <x:v>(+372) 589 3112</x:v>
      </x:c>
      <x:c r="E174" t="str">
        <x:v>warsaw</x:v>
      </x:c>
      <x:c r="F174" t="str">
        <x:v>03-25-2026</x:v>
      </x:c>
      <x:c r="G174" t="str">
        <x:v>Coffee Beans</x:v>
      </x:c>
      <x:c r="H174" t="str">
        <x:v>Food</x:v>
      </x:c>
      <x:c r="I174" t="str">
        <x:v>61,72</x:v>
      </x:c>
      <x:c r="J174" t="str">
        <x:v> pending</x:v>
      </x:c>
    </x:row>
    <x:row r="175">
      <x:c r="A175" t="str">
        <x:v>ORD-1171</x:v>
      </x:c>
      <x:c r="B175" t="str">
        <x:v>  ALINA FEDOROVA </x:v>
      </x:c>
      <x:c r="C175" t="str">
        <x:v>alina.fedorova171@example.com</x:v>
      </x:c>
      <x:c r="D175" t="str">
        <x:v>+372-579-9561</x:v>
      </x:c>
      <x:c r="E175" t="str">
        <x:v>vilnius</x:v>
      </x:c>
      <x:c r="F175" t="str">
        <x:v>25/05/2026</x:v>
      </x:c>
      <x:c r="G175" t="str">
        <x:v>Notebook A5</x:v>
      </x:c>
      <x:c r="H175" t="str">
        <x:v>Office</x:v>
      </x:c>
      <x:c r="I175" t="str">
        <x:v>18,45</x:v>
      </x:c>
      <x:c r="J175" t="str">
        <x:v>PAID</x:v>
      </x:c>
    </x:row>
    <x:row r="176">
      <x:c r="A176" t="str">
        <x:v>ORD-1172</x:v>
      </x:c>
      <x:c r="B176" t="str">
        <x:v>Elena Smirnova</x:v>
      </x:c>
      <x:c r="C176" t="str">
        <x:v>elena.smirnova172@mail.com</x:v>
      </x:c>
      <x:c r="D176" t="str">
        <x:v>+372 513 5722</x:v>
      </x:c>
      <x:c r="E176" t="str">
        <x:v>Riga</x:v>
      </x:c>
      <x:c r="F176" t="str">
        <x:v>01-16-2026</x:v>
      </x:c>
      <x:c r="G176" t="str">
        <x:v>Coffee Beans</x:v>
      </x:c>
      <x:c r="H176" t="str">
        <x:v>Food</x:v>
      </x:c>
      <x:c r="I176" t="str">
        <x:v>42.04</x:v>
      </x:c>
      <x:c r="J176" t="str">
        <x:v>cancelled</x:v>
      </x:c>
    </x:row>
    <x:row r="177">
      <x:c r="A177" t="str">
        <x:v>ORD-1173</x:v>
      </x:c>
      <x:c r="B177" t="str">
        <x:v>Elena Smirnova</x:v>
      </x:c>
      <x:c r="C177" t="str">
        <x:v>elena.smirnova173@example.com</x:v>
      </x:c>
      <x:c r="D177" t="str">
        <x:v>(+372) 533 3800</x:v>
      </x:c>
      <x:c r="E177" t="str">
        <x:v>Vilnius</x:v>
      </x:c>
      <x:c r="F177" t="str">
        <x:v>2026-05-16</x:v>
      </x:c>
      <x:c r="G177" t="str">
        <x:v>Coffee Beans</x:v>
      </x:c>
      <x:c r="H177" t="str">
        <x:v>Food</x:v>
      </x:c>
      <x:c r="I177" t="str">
        <x:v> 75.14 </x:v>
      </x:c>
      <x:c r="J177" t="str">
        <x:v>Canceled</x:v>
      </x:c>
    </x:row>
    <x:row r="178">
      <x:c r="A178" t="str">
        <x:v>ORD-1174</x:v>
      </x:c>
      <x:c r="B178" t="str">
        <x:v>  SOFIA MOROZOVA </x:v>
      </x:c>
      <x:c r="C178" t="str">
        <x:v> SOFIA.MOROZOVA174@EXAMPLE.COM </x:v>
      </x:c>
      <x:c r="D178" t="str">
        <x:v>(+372) 531 3705</x:v>
      </x:c>
      <x:c r="E178" t="str">
        <x:v>Vilnius</x:v>
      </x:c>
      <x:c r="F178" t="str">
        <x:v>02-22-2026</x:v>
      </x:c>
      <x:c r="G178" t="str">
        <x:v>Premium Tea</x:v>
      </x:c>
      <x:c r="H178" t="str">
        <x:v>Food</x:v>
      </x:c>
      <x:c r="I178" t="str">
        <x:v> 10.3 </x:v>
      </x:c>
      <x:c r="J178" t="str">
        <x:v>refunded</x:v>
      </x:c>
    </x:row>
    <x:row r="179">
      <x:c r="A179" t="str">
        <x:v>ORD-1175</x:v>
      </x:c>
      <x:c r="B179" t="str">
        <x:v>Alina Fedorova</x:v>
      </x:c>
      <x:c r="C179" t="str">
        <x:v>alina.fedorova175@gmail.com</x:v>
      </x:c>
      <x:c r="D179" t="str">
        <x:v>+372 583 6920</x:v>
      </x:c>
      <x:c r="E179" t="str">
        <x:v>Riga</x:v>
      </x:c>
      <x:c r="F179" t="str">
        <x:v>2026-02-17</x:v>
      </x:c>
      <x:c r="G179" t="str">
        <x:v>Premium Tea</x:v>
      </x:c>
      <x:c r="H179" t="str">
        <x:v>Food</x:v>
      </x:c>
      <x:c r="I179" t="str">
        <x:v>32.3</x:v>
      </x:c>
      <x:c r="J179" t="str">
        <x:v>Paid</x:v>
      </x:c>
    </x:row>
    <x:row r="180">
      <x:c r="A180" t="str">
        <x:v>ORD-1176</x:v>
      </x:c>
      <x:c r="B180" t="str">
        <x:v>Nina Volkova</x:v>
      </x:c>
      <x:c r="C180" t="str">
        <x:v>nina.volkova176@example.com</x:v>
      </x:c>
      <x:c r="D180" t="str">
        <x:v>+372-538-4136</x:v>
      </x:c>
      <x:c r="E180" t="str">
        <x:v>Tallinn</x:v>
      </x:c>
      <x:c r="F180" t="str">
        <x:v>06/01/2026</x:v>
      </x:c>
      <x:c r="G180" t="str">
        <x:v>Water Bottle</x:v>
      </x:c>
      <x:c r="H180" t="str">
        <x:v>Sports</x:v>
      </x:c>
      <x:c r="I180" t="str">
        <x:v>37.2</x:v>
      </x:c>
      <x:c r="J180" t="str">
        <x:v>REFUNDED</x:v>
      </x:c>
    </x:row>
    <x:row r="181">
      <x:c r="A181" t="str">
        <x:v>ORD-1177</x:v>
      </x:c>
      <x:c r="B181" t="str">
        <x:v>Daria Kuznetsova</x:v>
      </x:c>
      <x:c r="C181" t="str">
        <x:v>daria.kuznetsova177@example.com</x:v>
      </x:c>
      <x:c r="D181" t="str">
        <x:v>+372 560 9150</x:v>
      </x:c>
      <x:c r="E181" t="str">
        <x:v>warsaw</x:v>
      </x:c>
      <x:c r="F181" t="str">
        <x:v>01-29-2026</x:v>
      </x:c>
      <x:c r="G181" t="str">
        <x:v>USB-C Cable</x:v>
      </x:c>
      <x:c r="H181" t="str">
        <x:v>Electronics</x:v>
      </x:c>
      <x:c r="I181" t="str">
        <x:v>€31.41</x:v>
      </x:c>
      <x:c r="J181" t="str">
        <x:v>paid</x:v>
      </x:c>
    </x:row>
    <x:row r="182">
      <x:c r="A182" t="str">
        <x:v>ORD-1178</x:v>
      </x:c>
      <x:c r="B182" t="str">
        <x:v>  ELENA SMIRNOVA </x:v>
      </x:c>
      <x:c r="C182" t="str">
        <x:v> ELENA.SMIRNOVA178@GMAIL.COM </x:v>
      </x:c>
      <x:c r="D182" t="str">
        <x:v>+372 597 5647</x:v>
      </x:c>
      <x:c r="E182" t="str">
        <x:v>Warsaw</x:v>
      </x:c>
      <x:c r="F182" t="str">
        <x:v>05-12-2026</x:v>
      </x:c>
      <x:c r="G182" t="str">
        <x:v>Notebook A5</x:v>
      </x:c>
      <x:c r="H182" t="str">
        <x:v>Office</x:v>
      </x:c>
      <x:c r="I182" t="str">
        <x:v>24,93</x:v>
      </x:c>
      <x:c r="J182" t="str">
        <x:v>Paid</x:v>
      </x:c>
    </x:row>
    <x:row r="183">
      <x:c r="A183" t="str">
        <x:v>ORD-1179</x:v>
      </x:c>
      <x:c r="B183" t="str">
        <x:v>Elena Smirnova</x:v>
      </x:c>
      <x:c r="C183" t="str">
        <x:v>elena.smirnova179@example.com</x:v>
      </x:c>
      <x:c r="D183" t="str">
        <x:v>+372-511-9134</x:v>
      </x:c>
      <x:c r="E183" t="str">
        <x:v>warsaw</x:v>
      </x:c>
      <x:c r="F183" t="str">
        <x:v>06/04/2026</x:v>
      </x:c>
      <x:c r="G183" t="str">
        <x:v>Notebook A5</x:v>
      </x:c>
      <x:c r="H183" t="str">
        <x:v>Office</x:v>
      </x:c>
      <x:c r="I183" t="str">
        <x:v>€9.3</x:v>
      </x:c>
      <x:c r="J183" t="str">
        <x:v>refunded</x:v>
      </x:c>
    </x:row>
    <x:row r="184">
      <x:c r="A184" t="str">
        <x:v>ORD-1180</x:v>
      </x:c>
      <x:c r="B184" t="str">
        <x:v>Elena Smirnova</x:v>
      </x:c>
      <x:c r="C184" t="str">
        <x:v>elena.smirnova180@example.com</x:v>
      </x:c>
      <x:c r="D184" t="str">
        <x:v>(+372) 520 1057</x:v>
      </x:c>
      <x:c r="E184" t="str">
        <x:v>Riga</x:v>
      </x:c>
      <x:c r="F184" t="str">
        <x:v>15/02/2026</x:v>
      </x:c>
      <x:c r="G184" t="str">
        <x:v>Notebook A5</x:v>
      </x:c>
      <x:c r="H184" t="str">
        <x:v>Office</x:v>
      </x:c>
      <x:c r="I184" t="str">
        <x:v> 18.56 </x:v>
      </x:c>
      <x:c r="J184" t="str">
        <x:v>refunded</x:v>
      </x:c>
    </x:row>
    <x:row r="185">
      <x:c r="A185" t="str">
        <x:v>ORD-1181</x:v>
      </x:c>
      <x:c r="B185" t="str">
        <x:v>Alina Fedorova</x:v>
      </x:c>
      <x:c r="C185" t="str">
        <x:v> ALINA.FEDOROVA181@EXAMPLE.COM </x:v>
      </x:c>
      <x:c r="D185" t="str">
        <x:v>+372-599-6706</x:v>
      </x:c>
      <x:c r="E185" t="str">
        <x:v>Tartu</x:v>
      </x:c>
      <x:c r="F185" t="str">
        <x:v>18/05/2026</x:v>
      </x:c>
      <x:c r="G185" t="str">
        <x:v>Yoga Mat</x:v>
      </x:c>
      <x:c r="H185" t="str">
        <x:v>Sports</x:v>
      </x:c>
      <x:c r="I185" t="str">
        <x:v>€148.89</x:v>
      </x:c>
      <x:c r="J185" t="str">
        <x:v>Pending </x:v>
      </x:c>
    </x:row>
    <x:row r="186">
      <x:c r="A186" t="str">
        <x:v>ORD-1182</x:v>
      </x:c>
      <x:c r="B186" t="str">
        <x:v>Sofia Morozova</x:v>
      </x:c>
      <x:c r="C186" t="str">
        <x:v>sofia.morozova182@mail.com</x:v>
      </x:c>
      <x:c r="D186" t="str">
        <x:v>+372 581 1971</x:v>
      </x:c>
      <x:c r="E186" t="str">
        <x:v>Helsinki</x:v>
      </x:c>
      <x:c r="F186" t="str">
        <x:v>12/01/2026</x:v>
      </x:c>
      <x:c r="G186" t="str">
        <x:v>Water Bottle</x:v>
      </x:c>
      <x:c r="H186" t="str">
        <x:v>Sports</x:v>
      </x:c>
      <x:c r="I186" t="str">
        <x:v> 73.79 </x:v>
      </x:c>
      <x:c r="J186" t="str">
        <x:v>Canceled</x:v>
      </x:c>
    </x:row>
    <x:row r="187">
      <x:c r="A187" t="str">
        <x:v>ORD-1183</x:v>
      </x:c>
      <x:c r="B187" t="str">
        <x:v>Kate Brown</x:v>
      </x:c>
      <x:c r="C187" t="str">
        <x:v>kate.brown183@example.com</x:v>
      </x:c>
      <x:c r="D187" t="str">
        <x:v>+372-573-8632</x:v>
      </x:c>
      <x:c r="E187" t="str">
        <x:v>Warsaw</x:v>
      </x:c>
      <x:c r="F187" t="str">
        <x:v>2026-01-13</x:v>
      </x:c>
      <x:c r="G187" t="str">
        <x:v>Water Bottle</x:v>
      </x:c>
      <x:c r="H187" t="str">
        <x:v>Sports</x:v>
      </x:c>
      <x:c r="I187" t="str">
        <x:v>65,76</x:v>
      </x:c>
      <x:c r="J187" t="str">
        <x:v>Pending </x:v>
      </x:c>
    </x:row>
    <x:row r="188">
      <x:c r="A188" t="str">
        <x:v>ORD-1184</x:v>
      </x:c>
      <x:c r="B188" t="str">
        <x:v>  IRINA POPOVA </x:v>
      </x:c>
      <x:c r="C188" t="str">
        <x:v>irina.popova184@gmail.com</x:v>
      </x:c>
      <x:c r="D188" t="str">
        <x:v>+372-549-7043</x:v>
      </x:c>
      <x:c r="E188" t="str">
        <x:v>Tartu</x:v>
      </x:c>
      <x:c r="F188" t="str">
        <x:v>2026-02-01</x:v>
      </x:c>
      <x:c r="G188" t="str">
        <x:v>USB-C Cable</x:v>
      </x:c>
      <x:c r="H188" t="str">
        <x:v>Electronics</x:v>
      </x:c>
      <x:c r="I188" t="str">
        <x:v>45.76</x:v>
      </x:c>
      <x:c r="J188" t="str">
        <x:v>paid</x:v>
      </x:c>
    </x:row>
    <x:row r="189">
      <x:c r="A189" t="str">
        <x:v>ORD-1185</x:v>
      </x:c>
      <x:c r="B189" t="str">
        <x:v>Maria Petrova</x:v>
      </x:c>
      <x:c r="C189" t="str">
        <x:v>maria.petrova185@example.com</x:v>
      </x:c>
      <x:c r="D189" t="str">
        <x:v>(+372) 550 2463</x:v>
      </x:c>
      <x:c r="E189" t="str">
        <x:v>Helsinki</x:v>
      </x:c>
      <x:c r="F189" t="str">
        <x:v>03-01-2026</x:v>
      </x:c>
      <x:c r="G189" t="str">
        <x:v>Coffee Beans</x:v>
      </x:c>
      <x:c r="H189" t="str">
        <x:v>Food</x:v>
      </x:c>
      <x:c r="I189" t="str">
        <x:v>€13.55</x:v>
      </x:c>
      <x:c r="J189" t="str">
        <x:v>paid</x:v>
      </x:c>
    </x:row>
    <x:row r="190">
      <x:c r="A190" t="str">
        <x:v>ORD-1186</x:v>
      </x:c>
      <x:c r="B190" t="str">
        <x:v>Sofia Morozova</x:v>
      </x:c>
      <x:c r="C190" t="str">
        <x:v>sofia.morozova186@mail.com</x:v>
      </x:c>
      <x:c r="D190" t="str">
        <x:v>+372-580-0735</x:v>
      </x:c>
      <x:c r="E190" t="str">
        <x:v>Helsinki</x:v>
      </x:c>
      <x:c r="F190" t="str">
        <x:v>2026-05-17</x:v>
      </x:c>
      <x:c r="G190" t="str">
        <x:v>Yoga Mat</x:v>
      </x:c>
      <x:c r="H190" t="str">
        <x:v>Sports</x:v>
      </x:c>
      <x:c r="I190" t="str">
        <x:v> 29.22 </x:v>
      </x:c>
      <x:c r="J190" t="str">
        <x:v>cancelled</x:v>
      </x:c>
    </x:row>
    <x:row r="191">
      <x:c r="A191" t="str">
        <x:v>ORD-1187</x:v>
      </x:c>
      <x:c r="B191" t="str">
        <x:v>Sofia Morozova</x:v>
      </x:c>
      <x:c r="C191" t="str">
        <x:v>sofia.morozova187@gmail.com</x:v>
      </x:c>
      <x:c r="D191" t="str">
        <x:v>(+372) 574 8883</x:v>
      </x:c>
      <x:c r="E191" t="str">
        <x:v>Tartu</x:v>
      </x:c>
      <x:c r="F191" t="str">
        <x:v>2026-05-28</x:v>
      </x:c>
      <x:c r="G191" t="str">
        <x:v>Notebook A5</x:v>
      </x:c>
      <x:c r="H191" t="str">
        <x:v>Office</x:v>
      </x:c>
      <x:c r="I191" t="str">
        <x:v>5.04</x:v>
      </x:c>
      <x:c r="J191" t="str">
        <x:v>Canceled</x:v>
      </x:c>
    </x:row>
    <x:row r="192">
      <x:c r="A192" t="str">
        <x:v>ORD-1188</x:v>
      </x:c>
      <x:c r="B192" t="str">
        <x:v>Kate Brown</x:v>
      </x:c>
      <x:c r="C192" t="str">
        <x:v>kate.brown188@example.com</x:v>
      </x:c>
      <x:c r="D192" t="str">
        <x:v>+372 515 9470</x:v>
      </x:c>
      <x:c r="E192" t="str">
        <x:v>Riga</x:v>
      </x:c>
      <x:c r="F192" t="str">
        <x:v>2026-03-07</x:v>
      </x:c>
      <x:c r="G192" t="str">
        <x:v>Notebook A5</x:v>
      </x:c>
      <x:c r="H192" t="str">
        <x:v>Office</x:v>
      </x:c>
      <x:c r="I192" t="str">
        <x:v>12.54</x:v>
      </x:c>
      <x:c r="J192" t="str">
        <x:v>REFUNDED</x:v>
      </x:c>
    </x:row>
    <x:row r="193">
      <x:c r="A193" t="str">
        <x:v>ORD-1189</x:v>
      </x:c>
      <x:c r="B193" t="str">
        <x:v>Daria Kuznetsova</x:v>
      </x:c>
      <x:c r="C193" t="str">
        <x:v> DARIA.KUZNETSOVA189@EXAMPLE.COM </x:v>
      </x:c>
      <x:c r="D193" t="str">
        <x:v>+372 568 5480</x:v>
      </x:c>
      <x:c r="E193" t="str">
        <x:v>Helsinki</x:v>
      </x:c>
      <x:c r="F193" t="str">
        <x:v>2026-03-09</x:v>
      </x:c>
      <x:c r="G193" t="str">
        <x:v>Water Bottle</x:v>
      </x:c>
      <x:c r="H193" t="str">
        <x:v>Sports</x:v>
      </x:c>
      <x:c r="I193" t="str">
        <x:v>35.94</x:v>
      </x:c>
      <x:c r="J193" t="str">
        <x:v>cancelled</x:v>
      </x:c>
    </x:row>
    <x:row r="194">
      <x:c r="A194" t="str">
        <x:v>ORD-1190</x:v>
      </x:c>
      <x:c r="B194" t="str">
        <x:v>  SOFIA MOROZOVA </x:v>
      </x:c>
      <x:c r="C194" t="str">
        <x:v>sofia.morozova190@example.com</x:v>
      </x:c>
      <x:c r="D194" t="str">
        <x:v>+372-522-4927</x:v>
      </x:c>
      <x:c r="E194" t="str">
        <x:v>Helsinki</x:v>
      </x:c>
      <x:c r="F194" t="str">
        <x:v>29/05/2026</x:v>
      </x:c>
      <x:c r="G194" t="str">
        <x:v>Desk Lamp</x:v>
      </x:c>
      <x:c r="H194" t="str">
        <x:v>Home</x:v>
      </x:c>
      <x:c r="I194" t="str">
        <x:v> 151.32 </x:v>
      </x:c>
      <x:c r="J194" t="str">
        <x:v>Pending </x:v>
      </x:c>
    </x:row>
    <x:row r="195">
      <x:c r="A195" t="str">
        <x:v>ORD-1191</x:v>
      </x:c>
      <x:c r="B195" t="str">
        <x:v>  SOFIA MOROZOVA </x:v>
      </x:c>
      <x:c r="C195" t="str">
        <x:v>sofia.morozova191@mail.com</x:v>
      </x:c>
      <x:c r="D195" t="str">
        <x:v>(+372) 522 0373</x:v>
      </x:c>
      <x:c r="E195" t="str">
        <x:v>Tallinn</x:v>
      </x:c>
      <x:c r="F195" t="str">
        <x:v>01/02/2026</x:v>
      </x:c>
      <x:c r="G195" t="str">
        <x:v>Notebook A5</x:v>
      </x:c>
      <x:c r="H195" t="str">
        <x:v>Office</x:v>
      </x:c>
      <x:c r="I195" t="str">
        <x:v>4,94</x:v>
      </x:c>
      <x:c r="J195" t="str">
        <x:v>REFUNDED</x:v>
      </x:c>
    </x:row>
    <x:row r="196">
      <x:c r="A196" t="str">
        <x:v>ORD-1192</x:v>
      </x:c>
      <x:c r="B196" t="str">
        <x:v>Anna Ivanova</x:v>
      </x:c>
      <x:c r="C196" t="str">
        <x:v>anna.ivanova192@example.com</x:v>
      </x:c>
      <x:c r="D196" t="str">
        <x:v>+372-538-6710</x:v>
      </x:c>
      <x:c r="E196" t="str">
        <x:v>Vilnius</x:v>
      </x:c>
      <x:c r="F196" t="str">
        <x:v>09/03/2026</x:v>
      </x:c>
      <x:c r="G196" t="str">
        <x:v>Coffee Beans</x:v>
      </x:c>
      <x:c r="H196" t="str">
        <x:v>Food</x:v>
      </x:c>
      <x:c r="I196" t="str">
        <x:v>44.72</x:v>
      </x:c>
      <x:c r="J196" t="str">
        <x:v> pending</x:v>
      </x:c>
    </x:row>
    <x:row r="197">
      <x:c r="A197" t="str">
        <x:v>ORD-1193</x:v>
      </x:c>
      <x:c r="B197" t="str">
        <x:v>  ELENA SMIRNOVA </x:v>
      </x:c>
      <x:c r="C197" t="str">
        <x:v>elena.smirnova193@example.com</x:v>
      </x:c>
      <x:c r="D197" t="str">
        <x:v>+372 552 5503</x:v>
      </x:c>
      <x:c r="E197" t="str">
        <x:v>Riga</x:v>
      </x:c>
      <x:c r="F197" t="str">
        <x:v>2026-01-06</x:v>
      </x:c>
      <x:c r="G197" t="str">
        <x:v>Wireless Mouse</x:v>
      </x:c>
      <x:c r="H197" t="str">
        <x:v>Electronics</x:v>
      </x:c>
      <x:c r="I197" t="str">
        <x:v>107.5</x:v>
      </x:c>
      <x:c r="J197" t="str">
        <x:v>refunded</x:v>
      </x:c>
    </x:row>
    <x:row r="198">
      <x:c r="A198" t="str">
        <x:v>ORD-1194</x:v>
      </x:c>
      <x:c r="B198" t="str">
        <x:v>Olga Sokolova</x:v>
      </x:c>
      <x:c r="C198" t="str">
        <x:v>olga.sokolova194@gmail.com</x:v>
      </x:c>
      <x:c r="D198" t="str">
        <x:v>+372-560-6016</x:v>
      </x:c>
      <x:c r="E198" t="str">
        <x:v>vilnius</x:v>
      </x:c>
      <x:c r="F198" t="str">
        <x:v>04-04-2026</x:v>
      </x:c>
      <x:c r="G198" t="str">
        <x:v>Desk Lamp</x:v>
      </x:c>
      <x:c r="H198" t="str">
        <x:v>Home</x:v>
      </x:c>
      <x:c r="I198" t="str">
        <x:v>160.7</x:v>
      </x:c>
      <x:c r="J198" t="str">
        <x:v>paid</x:v>
      </x:c>
    </x:row>
    <x:row r="199">
      <x:c r="A199" t="str">
        <x:v>ORD-1195</x:v>
      </x:c>
      <x:c r="B199" t="str">
        <x:v>  DARIA KUZNETSOVA </x:v>
      </x:c>
      <x:c r="C199" t="str">
        <x:v>daria.kuznetsova195@example.com</x:v>
      </x:c>
      <x:c r="D199" t="str">
        <x:v>+372 570 3151</x:v>
      </x:c>
      <x:c r="E199" t="str">
        <x:v>warsaw</x:v>
      </x:c>
      <x:c r="F199" t="str">
        <x:v>26/01/2026</x:v>
      </x:c>
      <x:c r="G199" t="str">
        <x:v>USB-C Cable</x:v>
      </x:c>
      <x:c r="H199" t="str">
        <x:v>Electronics</x:v>
      </x:c>
      <x:c r="I199" t="str">
        <x:v>18.61</x:v>
      </x:c>
      <x:c r="J199" t="str">
        <x:v>refunded</x:v>
      </x:c>
    </x:row>
    <x:row r="200">
      <x:c r="A200" t="str">
        <x:v>ORD-1196</x:v>
      </x:c>
      <x:c r="B200" t="str">
        <x:v>Nina Volkova</x:v>
      </x:c>
      <x:c r="C200" t="str">
        <x:v> NINA.VOLKOVA196@MAIL.COM </x:v>
      </x:c>
      <x:c r="D200" t="str">
        <x:v>(+372) 568 4445</x:v>
      </x:c>
      <x:c r="E200" t="str">
        <x:v>Helsinki</x:v>
      </x:c>
      <x:c r="F200" t="str">
        <x:v>05-10-2026</x:v>
      </x:c>
      <x:c r="G200" t="str">
        <x:v>Water Bottle</x:v>
      </x:c>
      <x:c r="H200" t="str">
        <x:v>Sports</x:v>
      </x:c>
      <x:c r="I200" t="str">
        <x:v>€95.01</x:v>
      </x:c>
      <x:c r="J200" t="str">
        <x:v>paid</x:v>
      </x:c>
    </x:row>
    <x:row r="201">
      <x:c r="A201" t="str">
        <x:v>ORD-1197</x:v>
      </x:c>
      <x:c r="B201" t="str">
        <x:v>  DARIA KUZNETSOVA </x:v>
      </x:c>
      <x:c r="C201" t="str">
        <x:v>daria.kuznetsova197@gmail.com</x:v>
      </x:c>
      <x:c r="D201" t="str">
        <x:v>+372-552-1834</x:v>
      </x:c>
      <x:c r="E201" t="str">
        <x:v>Helsinki</x:v>
      </x:c>
      <x:c r="F201" t="str">
        <x:v>2026-02-04</x:v>
      </x:c>
      <x:c r="G201" t="str">
        <x:v>Coffee Beans</x:v>
      </x:c>
      <x:c r="H201" t="str">
        <x:v>Food</x:v>
      </x:c>
      <x:c r="I201" t="str">
        <x:v>27,16</x:v>
      </x:c>
      <x:c r="J201" t="str">
        <x:v>Pending </x:v>
      </x:c>
    </x:row>
    <x:row r="202">
      <x:c r="A202" t="str">
        <x:v>ORD-1198</x:v>
      </x:c>
      <x:c r="B202" t="str">
        <x:v>  ANNA IVANOVA </x:v>
      </x:c>
      <x:c r="C202" t="str">
        <x:v> ANNA.IVANOVA198@GMAIL.COM </x:v>
      </x:c>
      <x:c r="D202" t="str">
        <x:v>+372 527 1352</x:v>
      </x:c>
      <x:c r="E202" t="str">
        <x:v>Riga</x:v>
      </x:c>
      <x:c r="F202" t="str">
        <x:v>02-02-2026</x:v>
      </x:c>
      <x:c r="G202" t="str">
        <x:v>Water Bottle</x:v>
      </x:c>
      <x:c r="H202" t="str">
        <x:v>Sports</x:v>
      </x:c>
      <x:c r="I202" t="str">
        <x:v>93.18</x:v>
      </x:c>
      <x:c r="J202" t="str">
        <x:v>REFUNDED</x:v>
      </x:c>
    </x:row>
    <x:row r="203">
      <x:c r="A203" t="str">
        <x:v>ORD-1199</x:v>
      </x:c>
      <x:c r="B203" t="str">
        <x:v>Alina Fedorova</x:v>
      </x:c>
      <x:c r="C203" t="str">
        <x:v>alina.fedorova199@mail.com</x:v>
      </x:c>
      <x:c r="D203" t="str">
        <x:v>+372-541-7743</x:v>
      </x:c>
      <x:c r="E203" t="str">
        <x:v>Riga</x:v>
      </x:c>
      <x:c r="F203" t="str">
        <x:v>04-27-2026</x:v>
      </x:c>
      <x:c r="G203" t="str">
        <x:v>USB-C Cable</x:v>
      </x:c>
      <x:c r="H203" t="str">
        <x:v>Electronics</x:v>
      </x:c>
      <x:c r="I203" t="str">
        <x:v>53,74</x:v>
      </x:c>
      <x:c r="J203" t="str">
        <x:v>PAID</x:v>
      </x:c>
    </x:row>
    <x:row r="204">
      <x:c r="A204" t="str">
        <x:v>ORD-1200</x:v>
      </x:c>
      <x:c r="B204" t="str">
        <x:v>Nina Volkova</x:v>
      </x:c>
      <x:c r="C204" t="str">
        <x:v>nina.volkova200@gmail.com</x:v>
      </x:c>
      <x:c r="D204" t="str">
        <x:v>(+372) 510 0636</x:v>
      </x:c>
      <x:c r="E204" t="str">
        <x:v>tartu</x:v>
      </x:c>
      <x:c r="F204" t="str">
        <x:v>05-08-2026</x:v>
      </x:c>
      <x:c r="G204" t="str">
        <x:v>Premium Tea</x:v>
      </x:c>
      <x:c r="H204" t="str">
        <x:v>Food</x:v>
      </x:c>
      <x:c r="I204" t="str">
        <x:v> 12.03 </x:v>
      </x:c>
      <x:c r="J204" t="str">
        <x:v>Paid</x:v>
      </x:c>
    </x:row>
    <x:row r="205">
      <x:c r="A205" t="str">
        <x:v>ORD-1201</x:v>
      </x:c>
      <x:c r="B205" t="str">
        <x:v>Elena Smirnova</x:v>
      </x:c>
      <x:c r="C205" t="str">
        <x:v>elena.smirnova201@gmail.com</x:v>
      </x:c>
      <x:c r="D205" t="str">
        <x:v>+372 526 5326</x:v>
      </x:c>
      <x:c r="E205" t="str">
        <x:v>Tallinn</x:v>
      </x:c>
      <x:c r="F205" t="str">
        <x:v>20/04/2026</x:v>
      </x:c>
      <x:c r="G205" t="str">
        <x:v>Premium Tea</x:v>
      </x:c>
      <x:c r="H205" t="str">
        <x:v>Food</x:v>
      </x:c>
      <x:c r="I205" t="str">
        <x:v> 12.69 </x:v>
      </x:c>
      <x:c r="J205" t="str">
        <x:v>Canceled</x:v>
      </x:c>
    </x:row>
    <x:row r="206">
      <x:c r="A206" t="str">
        <x:v>ORD-1202</x:v>
      </x:c>
      <x:c r="B206" t="str">
        <x:v>Olga Sokolova</x:v>
      </x:c>
      <x:c r="C206" t="str">
        <x:v>olga.sokolova202@gmail.com</x:v>
      </x:c>
      <x:c r="D206" t="str">
        <x:v>+372 568 5869</x:v>
      </x:c>
      <x:c r="E206" t="str">
        <x:v>Tartu</x:v>
      </x:c>
      <x:c r="F206" t="str">
        <x:v>02-22-2026</x:v>
      </x:c>
      <x:c r="G206" t="str">
        <x:v>Yoga Mat</x:v>
      </x:c>
      <x:c r="H206" t="str">
        <x:v>Sports</x:v>
      </x:c>
      <x:c r="I206" t="str">
        <x:v> 54.04 </x:v>
      </x:c>
      <x:c r="J206" t="str">
        <x:v>Canceled</x:v>
      </x:c>
    </x:row>
    <x:row r="207">
      <x:c r="A207" t="str">
        <x:v>ORD-1203</x:v>
      </x:c>
      <x:c r="B207" t="str">
        <x:v>  ELENA SMIRNOVA </x:v>
      </x:c>
      <x:c r="C207" t="str">
        <x:v>elena.smirnova203@mail.com</x:v>
      </x:c>
      <x:c r="D207" t="str">
        <x:v>(+372) 567 0205</x:v>
      </x:c>
      <x:c r="E207" t="str">
        <x:v>Riga</x:v>
      </x:c>
      <x:c r="F207" t="str">
        <x:v>2026-05-27</x:v>
      </x:c>
      <x:c r="G207" t="str">
        <x:v>USB-C Cable</x:v>
      </x:c>
      <x:c r="H207" t="str">
        <x:v>Electronics</x:v>
      </x:c>
      <x:c r="I207" t="str">
        <x:v>39.77</x:v>
      </x:c>
      <x:c r="J207" t="str">
        <x:v>Pending </x:v>
      </x:c>
    </x:row>
    <x:row r="208">
      <x:c r="A208" t="str">
        <x:v>ORD-1204</x:v>
      </x:c>
      <x:c r="B208" t="str">
        <x:v>Olga Sokolova</x:v>
      </x:c>
      <x:c r="C208" t="str">
        <x:v>olga.sokolova204@mail.com</x:v>
      </x:c>
      <x:c r="D208" t="str">
        <x:v>+372-587-7484</x:v>
      </x:c>
      <x:c r="E208" t="str">
        <x:v>vilnius</x:v>
      </x:c>
      <x:c r="F208" t="str">
        <x:v>04-01-2026</x:v>
      </x:c>
      <x:c r="G208" t="str">
        <x:v>Coffee Beans</x:v>
      </x:c>
      <x:c r="H208" t="str">
        <x:v>Food</x:v>
      </x:c>
      <x:c r="I208" t="str">
        <x:v> 43.87 </x:v>
      </x:c>
      <x:c r="J208" t="str">
        <x:v>Pending </x:v>
      </x:c>
    </x:row>
    <x:row r="209">
      <x:c r="A209" t="str">
        <x:v>ORD-1205</x:v>
      </x:c>
      <x:c r="B209" t="str">
        <x:v>  ANNA IVANOVA </x:v>
      </x:c>
      <x:c r="C209" t="str">
        <x:v> ANNA.IVANOVA205@EXAMPLE.COM </x:v>
      </x:c>
      <x:c r="D209" t="str">
        <x:v>(+372) 561 3929</x:v>
      </x:c>
      <x:c r="E209" t="str">
        <x:v>vilnius</x:v>
      </x:c>
      <x:c r="F209" t="str">
        <x:v>28/05/2026</x:v>
      </x:c>
      <x:c r="G209" t="str">
        <x:v>Wireless Mouse</x:v>
      </x:c>
      <x:c r="H209" t="str">
        <x:v>Electronics</x:v>
      </x:c>
      <x:c r="I209" t="str">
        <x:v>€79.12</x:v>
      </x:c>
      <x:c r="J209" t="str">
        <x:v>paid</x:v>
      </x:c>
    </x:row>
    <x:row r="210">
      <x:c r="A210" t="str">
        <x:v>ORD-1206</x:v>
      </x:c>
      <x:c r="B210" t="str">
        <x:v>Kate Brown</x:v>
      </x:c>
      <x:c r="C210" t="str">
        <x:v>kate.brown206@mail.com</x:v>
      </x:c>
      <x:c r="D210" t="str">
        <x:v>(+372) 589 8543</x:v>
      </x:c>
      <x:c r="E210" t="str">
        <x:v>Tartu</x:v>
      </x:c>
      <x:c r="F210" t="str">
        <x:v>07/02/2026</x:v>
      </x:c>
      <x:c r="G210" t="str">
        <x:v>Premium Tea</x:v>
      </x:c>
      <x:c r="H210" t="str">
        <x:v>Food</x:v>
      </x:c>
      <x:c r="I210" t="str">
        <x:v> 37.85 </x:v>
      </x:c>
      <x:c r="J210" t="str">
        <x:v>Paid</x:v>
      </x:c>
    </x:row>
    <x:row r="211">
      <x:c r="A211" t="str">
        <x:v>ORD-1207</x:v>
      </x:c>
      <x:c r="B211" t="str">
        <x:v>Anna Ivanova</x:v>
      </x:c>
      <x:c r="C211" t="str">
        <x:v> ANNA.IVANOVA207@MAIL.COM </x:v>
      </x:c>
      <x:c r="D211" t="str">
        <x:v>(+372) 512 0503</x:v>
      </x:c>
      <x:c r="E211" t="str">
        <x:v>riga</x:v>
      </x:c>
      <x:c r="F211" t="str">
        <x:v>2026-05-01</x:v>
      </x:c>
      <x:c r="G211" t="str">
        <x:v>Premium Tea</x:v>
      </x:c>
      <x:c r="H211" t="str">
        <x:v>Food</x:v>
      </x:c>
      <x:c r="I211" t="str">
        <x:v> 62.23 </x:v>
      </x:c>
      <x:c r="J211" t="str">
        <x:v>paid</x:v>
      </x:c>
    </x:row>
    <x:row r="212">
      <x:c r="A212" t="str">
        <x:v>ORD-1208</x:v>
      </x:c>
      <x:c r="B212" t="str">
        <x:v>Maria Petrova</x:v>
      </x:c>
      <x:c r="C212" t="str">
        <x:v>maria.petrova208@example.com</x:v>
      </x:c>
      <x:c r="D212" t="str">
        <x:v>+372-529-9242</x:v>
      </x:c>
      <x:c r="E212" t="str">
        <x:v>vilnius</x:v>
      </x:c>
      <x:c r="F212" t="str">
        <x:v>08/02/2026</x:v>
      </x:c>
      <x:c r="G212" t="str">
        <x:v>USB-C Cable</x:v>
      </x:c>
      <x:c r="H212" t="str">
        <x:v>Electronics</x:v>
      </x:c>
      <x:c r="I212" t="str">
        <x:v>€30.38</x:v>
      </x:c>
      <x:c r="J212" t="str">
        <x:v>REFUNDED</x:v>
      </x:c>
    </x:row>
    <x:row r="213">
      <x:c r="A213" t="str">
        <x:v>ORD-1209</x:v>
      </x:c>
      <x:c r="B213" t="str">
        <x:v>Kate Brown</x:v>
      </x:c>
      <x:c r="C213" t="str">
        <x:v>kate.brown209@mail.com</x:v>
      </x:c>
      <x:c r="D213" t="str">
        <x:v>(+372) 575 7747</x:v>
      </x:c>
      <x:c r="E213" t="str">
        <x:v>Tartu</x:v>
      </x:c>
      <x:c r="F213" t="str">
        <x:v>2026-04-16</x:v>
      </x:c>
      <x:c r="G213" t="str">
        <x:v>Coffee Beans</x:v>
      </x:c>
      <x:c r="H213" t="str">
        <x:v>Food</x:v>
      </x:c>
      <x:c r="I213" t="str">
        <x:v>54,83</x:v>
      </x:c>
      <x:c r="J213" t="str">
        <x:v> pending</x:v>
      </x:c>
    </x:row>
    <x:row r="214">
      <x:c r="A214" t="str">
        <x:v>ORD-1210</x:v>
      </x:c>
      <x:c r="B214" t="str">
        <x:v>Anna Ivanova</x:v>
      </x:c>
      <x:c r="C214" t="str">
        <x:v>anna.ivanova210@example.com</x:v>
      </x:c>
      <x:c r="D214" t="str">
        <x:v>+372-528-0183</x:v>
      </x:c>
      <x:c r="E214" t="str">
        <x:v>Tartu</x:v>
      </x:c>
      <x:c r="F214" t="str">
        <x:v>2026-03-14</x:v>
      </x:c>
      <x:c r="G214" t="str">
        <x:v>Wireless Mouse</x:v>
      </x:c>
      <x:c r="H214" t="str">
        <x:v>Electronics</x:v>
      </x:c>
      <x:c r="I214" t="str">
        <x:v>€51.6</x:v>
      </x:c>
      <x:c r="J214" t="str">
        <x:v>REFUNDED</x:v>
      </x:c>
    </x:row>
    <x:row r="215">
      <x:c r="A215" t="str">
        <x:v>ORD-1211</x:v>
      </x:c>
      <x:c r="B215" t="str">
        <x:v>Kate Brown</x:v>
      </x:c>
      <x:c r="C215" t="str">
        <x:v>kate.brown211@example.com</x:v>
      </x:c>
      <x:c r="D215" t="str">
        <x:v>+372-597-2642</x:v>
      </x:c>
      <x:c r="E215" t="str">
        <x:v>Helsinki</x:v>
      </x:c>
      <x:c r="F215" t="str">
        <x:v>01-22-2026</x:v>
      </x:c>
      <x:c r="G215" t="str">
        <x:v>Notebook A5</x:v>
      </x:c>
      <x:c r="H215" t="str">
        <x:v>Office</x:v>
      </x:c>
      <x:c r="I215" t="str">
        <x:v>10.2</x:v>
      </x:c>
      <x:c r="J215" t="str">
        <x:v> pending</x:v>
      </x:c>
    </x:row>
    <x:row r="216">
      <x:c r="A216" t="str">
        <x:v>ORD-1212</x:v>
      </x:c>
      <x:c r="B216" t="str">
        <x:v>Elena Smirnova</x:v>
      </x:c>
      <x:c r="C216" t="str">
        <x:v>elena.smirnova212@mail.com</x:v>
      </x:c>
      <x:c r="D216" t="str">
        <x:v>+372-541-6121</x:v>
      </x:c>
      <x:c r="E216" t="str">
        <x:v>Warsaw</x:v>
      </x:c>
      <x:c r="F216" t="str">
        <x:v>07/02/2026</x:v>
      </x:c>
      <x:c r="G216" t="str">
        <x:v>Water Bottle</x:v>
      </x:c>
      <x:c r="H216" t="str">
        <x:v>Sports</x:v>
      </x:c>
      <x:c r="I216" t="str">
        <x:v>17.43</x:v>
      </x:c>
      <x:c r="J216" t="str">
        <x:v>PAID</x:v>
      </x:c>
    </x:row>
    <x:row r="217">
      <x:c r="A217" t="str">
        <x:v>ORD-1213</x:v>
      </x:c>
      <x:c r="B217" t="str">
        <x:v>Nina Volkova</x:v>
      </x:c>
      <x:c r="C217" t="str">
        <x:v>nina.volkova213@gmail.com</x:v>
      </x:c>
      <x:c r="D217" t="str">
        <x:v>+372 539 7053</x:v>
      </x:c>
      <x:c r="E217" t="str">
        <x:v>tallinn</x:v>
      </x:c>
      <x:c r="F217" t="str">
        <x:v>08/05/2026</x:v>
      </x:c>
      <x:c r="G217" t="str">
        <x:v>Yoga Mat</x:v>
      </x:c>
      <x:c r="H217" t="str">
        <x:v>Sports</x:v>
      </x:c>
      <x:c r="I217" t="str">
        <x:v> 118.53 </x:v>
      </x:c>
      <x:c r="J217" t="str">
        <x:v>cancelled</x:v>
      </x:c>
    </x:row>
    <x:row r="218">
      <x:c r="A218" t="str">
        <x:v>ORD-1214</x:v>
      </x:c>
      <x:c r="B218" t="str">
        <x:v>Nina Volkova</x:v>
      </x:c>
      <x:c r="C218" t="str">
        <x:v>nina.volkova214@gmail.com</x:v>
      </x:c>
      <x:c r="D218" t="str">
        <x:v>(+372) 591 0121</x:v>
      </x:c>
      <x:c r="E218" t="str">
        <x:v>Riga</x:v>
      </x:c>
      <x:c r="F218" t="str">
        <x:v>05-01-2026</x:v>
      </x:c>
      <x:c r="G218" t="str">
        <x:v>USB-C Cable</x:v>
      </x:c>
      <x:c r="H218" t="str">
        <x:v>Electronics</x:v>
      </x:c>
      <x:c r="I218" t="str">
        <x:v>€22.21</x:v>
      </x:c>
      <x:c r="J218" t="str">
        <x:v>Paid</x:v>
      </x:c>
    </x:row>
    <x:row r="219">
      <x:c r="A219" t="str">
        <x:v>ORD-1215</x:v>
      </x:c>
      <x:c r="B219" t="str">
        <x:v>Daria Kuznetsova</x:v>
      </x:c>
      <x:c r="C219" t="str">
        <x:v> DARIA.KUZNETSOVA215@GMAIL.COM </x:v>
      </x:c>
      <x:c r="D219" t="str">
        <x:v>+372-553-5509</x:v>
      </x:c>
      <x:c r="E219" t="str">
        <x:v>Riga</x:v>
      </x:c>
      <x:c r="F219" t="str">
        <x:v>2026-01-26</x:v>
      </x:c>
      <x:c r="G219" t="str">
        <x:v>Yoga Mat</x:v>
      </x:c>
      <x:c r="H219" t="str">
        <x:v>Sports</x:v>
      </x:c>
      <x:c r="I219" t="str">
        <x:v>32.31</x:v>
      </x:c>
      <x:c r="J219" t="str">
        <x:v>paid</x:v>
      </x:c>
    </x:row>
    <x:row r="220">
      <x:c r="A220" t="str">
        <x:v>ORD-1216</x:v>
      </x:c>
      <x:c r="B220" t="str">
        <x:v>Maria Petrova</x:v>
      </x:c>
      <x:c r="C220" t="str">
        <x:v>maria.petrova216@mail.com</x:v>
      </x:c>
      <x:c r="D220" t="str">
        <x:v>+372-527-8775</x:v>
      </x:c>
      <x:c r="E220" t="str">
        <x:v>Tartu</x:v>
      </x:c>
      <x:c r="F220" t="str">
        <x:v>2026-02-10</x:v>
      </x:c>
      <x:c r="G220" t="str">
        <x:v>Premium Tea</x:v>
      </x:c>
      <x:c r="H220" t="str">
        <x:v>Food</x:v>
      </x:c>
      <x:c r="I220" t="str">
        <x:v>33.51</x:v>
      </x:c>
      <x:c r="J220" t="str">
        <x:v>refunded</x:v>
      </x:c>
    </x:row>
    <x:row r="221">
      <x:c r="A221" t="str">
        <x:v>ORD-1217</x:v>
      </x:c>
      <x:c r="B221" t="str">
        <x:v>Alina Fedorova</x:v>
      </x:c>
      <x:c r="C221" t="str">
        <x:v> ALINA.FEDOROVA217@GMAIL.COM </x:v>
      </x:c>
      <x:c r="D221" t="str">
        <x:v>+372-580-9669</x:v>
      </x:c>
      <x:c r="E221" t="str">
        <x:v>Vilnius</x:v>
      </x:c>
      <x:c r="F221" t="str">
        <x:v>2026-02-10</x:v>
      </x:c>
      <x:c r="G221" t="str">
        <x:v>Wireless Mouse</x:v>
      </x:c>
      <x:c r="H221" t="str">
        <x:v>Electronics</x:v>
      </x:c>
      <x:c r="I221" t="str">
        <x:v>€113.99</x:v>
      </x:c>
      <x:c r="J221" t="str">
        <x:v>Pending </x:v>
      </x:c>
    </x:row>
    <x:row r="222">
      <x:c r="A222" t="str">
        <x:v>ORD-1218</x:v>
      </x:c>
      <x:c r="B222" t="str">
        <x:v>Irina Popova</x:v>
      </x:c>
      <x:c r="C222" t="str">
        <x:v>irina.popova218@example.com</x:v>
      </x:c>
      <x:c r="D222" t="str">
        <x:v>(+372) 552 1690</x:v>
      </x:c>
      <x:c r="E222" t="str">
        <x:v>Helsinki</x:v>
      </x:c>
      <x:c r="F222" t="str">
        <x:v>2026-03-24</x:v>
      </x:c>
      <x:c r="G222" t="str">
        <x:v>Yoga Mat</x:v>
      </x:c>
      <x:c r="H222" t="str">
        <x:v>Sports</x:v>
      </x:c>
      <x:c r="I222" t="str">
        <x:v>€52.39</x:v>
      </x:c>
      <x:c r="J222" t="str">
        <x:v>paid</x:v>
      </x:c>
    </x:row>
    <x:row r="223">
      <x:c r="A223" t="str">
        <x:v>ORD-1219</x:v>
      </x:c>
      <x:c r="B223" t="str">
        <x:v>  IRINA POPOVA </x:v>
      </x:c>
      <x:c r="C223" t="str">
        <x:v>irina.popova219@example.com</x:v>
      </x:c>
      <x:c r="D223" t="str">
        <x:v>+372 544 9737</x:v>
      </x:c>
      <x:c r="E223" t="str">
        <x:v>Vilnius</x:v>
      </x:c>
      <x:c r="F223" t="str">
        <x:v>01-16-2026</x:v>
      </x:c>
      <x:c r="G223" t="str">
        <x:v>Premium Tea</x:v>
      </x:c>
      <x:c r="H223" t="str">
        <x:v>Food</x:v>
      </x:c>
      <x:c r="I223" t="str">
        <x:v>€23.84</x:v>
      </x:c>
      <x:c r="J223" t="str">
        <x:v>REFUNDED</x:v>
      </x:c>
    </x:row>
    <x:row r="224">
      <x:c r="A224" t="str">
        <x:v>ORD-1220</x:v>
      </x:c>
      <x:c r="B224" t="str">
        <x:v>  ALINA FEDOROVA </x:v>
      </x:c>
      <x:c r="C224" t="str">
        <x:v>alina.fedorova220@example.com</x:v>
      </x:c>
      <x:c r="D224" t="str">
        <x:v>+372 538 8556</x:v>
      </x:c>
      <x:c r="E224" t="str">
        <x:v>Tallinn</x:v>
      </x:c>
      <x:c r="F224" t="str">
        <x:v>22/02/2026</x:v>
      </x:c>
      <x:c r="G224" t="str">
        <x:v>Water Bottle</x:v>
      </x:c>
      <x:c r="H224" t="str">
        <x:v>Sports</x:v>
      </x:c>
      <x:c r="I224" t="str">
        <x:v>€96.51</x:v>
      </x:c>
      <x:c r="J224" t="str">
        <x:v> pending</x:v>
      </x:c>
    </x:row>
    <x:row r="225">
      <x:c r="A225" t="str">
        <x:v>ORD-1221</x:v>
      </x:c>
      <x:c r="B225" t="str">
        <x:v>Anna Ivanova</x:v>
      </x:c>
      <x:c r="C225" t="str">
        <x:v>anna.ivanova69@example.com</x:v>
      </x:c>
      <x:c r="D225" t="str">
        <x:v>+372 599 6440</x:v>
      </x:c>
      <x:c r="E225" t="str">
        <x:v>Vilnius</x:v>
      </x:c>
      <x:c r="F225" t="str">
        <x:v>2026-03-22</x:v>
      </x:c>
      <x:c r="G225" t="str">
        <x:v>Premium Tea</x:v>
      </x:c>
      <x:c r="H225" t="str">
        <x:v>Food</x:v>
      </x:c>
      <x:c r="I225" t="str">
        <x:v>€12.18</x:v>
      </x:c>
      <x:c r="J225" t="str">
        <x:v>REFUNDED</x:v>
      </x:c>
    </x:row>
    <x:row r="226">
      <x:c r="A226" t="str">
        <x:v>ORD-1222</x:v>
      </x:c>
      <x:c r="B226" t="str">
        <x:v>Irina Popova</x:v>
      </x:c>
      <x:c r="C226" t="str">
        <x:v>irina.popova124@mail.com</x:v>
      </x:c>
      <x:c r="D226" t="str">
        <x:v>(+372) 516 9431</x:v>
      </x:c>
      <x:c r="E226" t="str">
        <x:v>Warsaw</x:v>
      </x:c>
      <x:c r="F226" t="str">
        <x:v>03-20-2026</x:v>
      </x:c>
      <x:c r="G226" t="str">
        <x:v>Premium Tea</x:v>
      </x:c>
      <x:c r="H226" t="str">
        <x:v>Food</x:v>
      </x:c>
      <x:c r="I226" t="str">
        <x:v>€38.08</x:v>
      </x:c>
      <x:c r="J226" t="str">
        <x:v>paid</x:v>
      </x:c>
    </x:row>
    <x:row r="227">
      <x:c r="A227" t="str">
        <x:v>ORD-1223</x:v>
      </x:c>
      <x:c r="B227" t="str">
        <x:v>Nina Volkova</x:v>
      </x:c>
      <x:c r="C227" t="str">
        <x:v>nina.volkova214@gmail.com</x:v>
      </x:c>
      <x:c r="D227" t="str">
        <x:v>(+372) 591 0121</x:v>
      </x:c>
      <x:c r="E227" t="str">
        <x:v>Riga</x:v>
      </x:c>
      <x:c r="F227" t="str">
        <x:v>05-01-2026</x:v>
      </x:c>
      <x:c r="G227" t="str">
        <x:v>USB-C Cable</x:v>
      </x:c>
      <x:c r="H227" t="str">
        <x:v>Electronics</x:v>
      </x:c>
      <x:c r="I227" t="str">
        <x:v>€22.21</x:v>
      </x:c>
      <x:c r="J227" t="str">
        <x:v>Paid</x:v>
      </x:c>
    </x:row>
    <x:row r="228">
      <x:c r="A228" t="str">
        <x:v>ORD-1224</x:v>
      </x:c>
      <x:c r="B228" t="str">
        <x:v>Sofia Morozova</x:v>
      </x:c>
      <x:c r="C228" t="str">
        <x:v>sofia.morozova45@example.com</x:v>
      </x:c>
      <x:c r="D228" t="str">
        <x:v>+372-514-2116</x:v>
      </x:c>
      <x:c r="E228" t="str">
        <x:v>Riga</x:v>
      </x:c>
      <x:c r="F228" t="str">
        <x:v>01-24-2026</x:v>
      </x:c>
      <x:c r="G228" t="str">
        <x:v>USB-C Cable</x:v>
      </x:c>
      <x:c r="H228" t="str">
        <x:v>Electronics</x:v>
      </x:c>
      <x:c r="I228" t="str">
        <x:v>42.68</x:v>
      </x:c>
      <x:c r="J228" t="str">
        <x:v>Pending </x:v>
      </x:c>
    </x:row>
    <x:row r="229">
      <x:c r="A229" t="str">
        <x:v>ORD-1225</x:v>
      </x:c>
      <x:c r="B229" t="str">
        <x:v>Nina Volkova</x:v>
      </x:c>
      <x:c r="C229" t="str">
        <x:v>nina.volkova37@gmail.com</x:v>
      </x:c>
      <x:c r="D229" t="str">
        <x:v>(+372) 558 4210</x:v>
      </x:c>
      <x:c r="E229" t="str">
        <x:v>Riga</x:v>
      </x:c>
      <x:c r="F229" t="str">
        <x:v>02-17-2026</x:v>
      </x:c>
      <x:c r="G229" t="str">
        <x:v>Wireless Mouse</x:v>
      </x:c>
      <x:c r="H229" t="str">
        <x:v>Electronics</x:v>
      </x:c>
      <x:c r="I229" t="str">
        <x:v> 83.25 </x:v>
      </x:c>
      <x:c r="J229" t="str">
        <x:v>Paid</x:v>
      </x:c>
    </x:row>
    <x:row r="230">
      <x:c r="A230" t="str">
        <x:v>ORD-1226</x:v>
      </x:c>
      <x:c r="B230" t="str">
        <x:v>Olga Sokolova</x:v>
      </x:c>
      <x:c r="C230" t="str">
        <x:v>olga.sokolova194@gmail.com</x:v>
      </x:c>
      <x:c r="D230" t="str">
        <x:v>+372-560-6016</x:v>
      </x:c>
      <x:c r="E230" t="str">
        <x:v>vilnius</x:v>
      </x:c>
      <x:c r="F230" t="str">
        <x:v>04-04-2026</x:v>
      </x:c>
      <x:c r="G230" t="str">
        <x:v>Desk Lamp</x:v>
      </x:c>
      <x:c r="H230" t="str">
        <x:v>Home</x:v>
      </x:c>
      <x:c r="I230" t="str">
        <x:v>160.7</x:v>
      </x:c>
      <x:c r="J230" t="str">
        <x:v>paid</x:v>
      </x:c>
    </x:row>
    <x:row r="231">
      <x:c r="A231" t="str">
        <x:v>ORD-1227</x:v>
      </x:c>
      <x:c r="B231" t="str">
        <x:v>Olga Sokolova</x:v>
      </x:c>
      <x:c r="C231" t="str">
        <x:v>olga.sokolova163@gmail.com</x:v>
      </x:c>
      <x:c r="D231" t="str">
        <x:v>+372-579-2715</x:v>
      </x:c>
      <x:c r="E231" t="str">
        <x:v>tartu</x:v>
      </x:c>
      <x:c r="F231" t="str">
        <x:v>15/04/2026</x:v>
      </x:c>
      <x:c r="G231" t="str">
        <x:v>Desk Lamp</x:v>
      </x:c>
      <x:c r="H231" t="str">
        <x:v>Home</x:v>
      </x:c>
      <x:c r="I231" t="str">
        <x:v>33.18</x:v>
      </x:c>
      <x:c r="J231" t="str">
        <x:v>REFUNDED</x:v>
      </x:c>
    </x:row>
    <x:row r="232">
      <x:c r="A232" t="str">
        <x:v>ORD-1228</x:v>
      </x:c>
      <x:c r="B232" t="str">
        <x:v>Sofia Morozova</x:v>
      </x:c>
      <x:c r="C232" t="str">
        <x:v>sofia.morozova90@example.com</x:v>
      </x:c>
      <x:c r="D232" t="str">
        <x:v>(+372) 543 9132</x:v>
      </x:c>
      <x:c r="E232" t="str">
        <x:v>Vilnius</x:v>
      </x:c>
      <x:c r="F232" t="str">
        <x:v>11/04/2026</x:v>
      </x:c>
      <x:c r="G232" t="str">
        <x:v>Coffee Beans</x:v>
      </x:c>
      <x:c r="H232" t="str">
        <x:v>Food</x:v>
      </x:c>
      <x:c r="I232" t="str">
        <x:v>€80.16</x:v>
      </x:c>
      <x:c r="J232" t="str">
        <x:v>REFUNDED</x:v>
      </x:c>
    </x:row>
    <x:row r="233">
      <x:c r="A233" t="str">
        <x:v>ORD-1229</x:v>
      </x:c>
      <x:c r="B233" t="str">
        <x:v>Alina Fedorova</x:v>
      </x:c>
      <x:c r="C233" t="str">
        <x:v>alina.fedorova130@mail.com</x:v>
      </x:c>
      <x:c r="D233" t="str">
        <x:v>+372-519-6571</x:v>
      </x:c>
      <x:c r="E233" t="str">
        <x:v>tartu</x:v>
      </x:c>
      <x:c r="F233" t="str">
        <x:v>05-31-2026</x:v>
      </x:c>
      <x:c r="G233" t="str">
        <x:v>Wireless Mouse</x:v>
      </x:c>
      <x:c r="H233" t="str">
        <x:v>Electronics</x:v>
      </x:c>
      <x:c r="I233" t="str">
        <x:v>€76.24</x:v>
      </x:c>
      <x:c r="J233" t="str">
        <x:v>REFUNDED</x:v>
      </x:c>
    </x:row>
    <x:row r="234">
      <x:c r="A234" t="str">
        <x:v>ORD-1230</x:v>
      </x:c>
      <x:c r="B234" t="str">
        <x:v>Sofia Morozova</x:v>
      </x:c>
      <x:c r="C234" t="str">
        <x:v>sofia.morozova93@gmail.com</x:v>
      </x:c>
      <x:c r="D234" t="str">
        <x:v>+372 514 1652</x:v>
      </x:c>
      <x:c r="E234" t="str">
        <x:v>Helsinki</x:v>
      </x:c>
      <x:c r="F234" t="str">
        <x:v>04-15-2026</x:v>
      </x:c>
      <x:c r="G234" t="str">
        <x:v>Wireless Mouse</x:v>
      </x:c>
      <x:c r="H234" t="str">
        <x:v>Electronics</x:v>
      </x:c>
      <x:c r="I234" t="str">
        <x:v> 112.17 </x:v>
      </x:c>
      <x:c r="J234" t="str">
        <x:v>cancelled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2d12868ec9c4c6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30" hidden="0" customWidth="1"/>
    <x:col min="4" max="4" width="20" hidden="0" customWidth="1"/>
    <x:col min="5" max="5" width="14" hidden="0" customWidth="1"/>
    <x:col min="6" max="6" width="14" hidden="0" customWidth="1"/>
    <x:col min="7" max="7" width="20" hidden="0" customWidth="1"/>
    <x:col min="8" max="8" width="14" hidden="0" customWidth="1"/>
    <x:col min="9" max="9" width="13" hidden="0" customWidth="1"/>
    <x:col min="10" max="10" width="14" hidden="0" customWidth="1"/>
    <x:col min="11" max="11" width="12" hidden="0" customWidth="1"/>
    <x:col min="12" max="12" width="16" hidden="0" customWidth="1"/>
  </x:cols>
  <x:sheetData>
    <x:row r="1" ht="28" customHeight="1">
      <x:c r="A1" s="5" t="str">
        <x:v>Case 1 — Clean Customer Orders</x:v>
      </x:c>
    </x:row>
    <x:row r="2" ht="34" customHeight="1">
      <x:c r="A2" s="12" t="str">
        <x:v>Cleaned output: standardized names/emails/phones/cities/dates/statuses, parsed amount, duplicate flag and data quality flag.</x:v>
      </x:c>
    </x:row>
    <x:row r="4">
      <x:c r="A4" s="32" t="str">
        <x:v>Order ID</x:v>
      </x:c>
      <x:c r="B4" s="32" t="str">
        <x:v>Customer Name Clean</x:v>
      </x:c>
      <x:c r="C4" s="32" t="str">
        <x:v>Email Clean</x:v>
      </x:c>
      <x:c r="D4" s="32" t="str">
        <x:v>Phone Clean</x:v>
      </x:c>
      <x:c r="E4" s="32" t="str">
        <x:v>City Clean</x:v>
      </x:c>
      <x:c r="F4" s="32" t="str">
        <x:v>Order Date Clean</x:v>
      </x:c>
      <x:c r="G4" s="32" t="str">
        <x:v>Product</x:v>
      </x:c>
      <x:c r="H4" s="32" t="str">
        <x:v>Category</x:v>
      </x:c>
      <x:c r="I4" s="32" t="str">
        <x:v>Amount Clean</x:v>
      </x:c>
      <x:c r="J4" s="32" t="str">
        <x:v>Status Clean</x:v>
      </x:c>
      <x:c r="K4" s="32" t="str">
        <x:v>Duplicate Flag</x:v>
      </x:c>
      <x:c r="L4" s="32" t="str">
        <x:v>Quality Flag</x:v>
      </x:c>
    </x:row>
    <x:row r="5">
      <x:c r="A5" t="str">
        <x:v>ORD-1001</x:v>
      </x:c>
      <x:c r="B5" t="str">
        <x:v>Olga Sokolova</x:v>
      </x:c>
      <x:c r="C5" t="str">
        <x:v>olga.sokolova1@gmail.com</x:v>
      </x:c>
      <x:c r="D5" t="str">
        <x:v>+3725811873</x:v>
      </x:c>
      <x:c r="E5" t="str">
        <x:v>Riga</x:v>
      </x:c>
      <x:c r="F5" s="38" t="n">
        <x:v>46168</x:v>
      </x:c>
      <x:c r="G5" t="str">
        <x:v>Notebook A5</x:v>
      </x:c>
      <x:c r="H5" t="str">
        <x:v>Office</x:v>
      </x:c>
      <x:c r="I5" s="40" t="n">
        <x:v>21.97</x:v>
      </x:c>
      <x:c r="J5" t="str">
        <x:v>CANCELLED</x:v>
      </x:c>
      <x:c r="K5" t="str">
        <x:v>Unique</x:v>
      </x:c>
      <x:c r="L5" t="str">
        <x:v>OK</x:v>
      </x:c>
    </x:row>
    <x:row r="6">
      <x:c r="A6" t="str">
        <x:v>ORD-1002</x:v>
      </x:c>
      <x:c r="B6" t="str">
        <x:v>Alina Fedorova</x:v>
      </x:c>
      <x:c r="C6" t="str">
        <x:v>alina.fedorova2@gmail.com</x:v>
      </x:c>
      <x:c r="D6" t="str">
        <x:v>+3725758969</x:v>
      </x:c>
      <x:c r="E6" t="str">
        <x:v>Riga</x:v>
      </x:c>
      <x:c r="F6" s="38" t="n">
        <x:v>46077</x:v>
      </x:c>
      <x:c r="G6" t="str">
        <x:v>Coffee Beans</x:v>
      </x:c>
      <x:c r="H6" t="str">
        <x:v>Food</x:v>
      </x:c>
      <x:c r="I6" s="40" t="n">
        <x:v>59.65</x:v>
      </x:c>
      <x:c r="J6" t="str">
        <x:v>PENDING</x:v>
      </x:c>
      <x:c r="K6" t="str">
        <x:v>Unique</x:v>
      </x:c>
      <x:c r="L6" t="str">
        <x:v>OK</x:v>
      </x:c>
    </x:row>
    <x:row r="7">
      <x:c r="A7" t="str">
        <x:v>ORD-1003</x:v>
      </x:c>
      <x:c r="B7" t="str">
        <x:v>Elena Smirnova</x:v>
      </x:c>
      <x:c r="C7" t="str">
        <x:v>elena.smirnova3@gmail.com</x:v>
      </x:c>
      <x:c r="D7" t="str">
        <x:v>+3725403513</x:v>
      </x:c>
      <x:c r="E7" t="str">
        <x:v>Helsinki</x:v>
      </x:c>
      <x:c r="F7" s="38" t="n">
        <x:v>46152</x:v>
      </x:c>
      <x:c r="G7" t="str">
        <x:v>Coffee Beans</x:v>
      </x:c>
      <x:c r="H7" t="str">
        <x:v>Food</x:v>
      </x:c>
      <x:c r="I7" s="40" t="n">
        <x:v>26.25</x:v>
      </x:c>
      <x:c r="J7" t="str">
        <x:v>PENDING</x:v>
      </x:c>
      <x:c r="K7" t="str">
        <x:v>Unique</x:v>
      </x:c>
      <x:c r="L7" t="str">
        <x:v>OK</x:v>
      </x:c>
    </x:row>
    <x:row r="8">
      <x:c r="A8" t="str">
        <x:v>ORD-1004</x:v>
      </x:c>
      <x:c r="B8" t="str">
        <x:v>Maria Petrova</x:v>
      </x:c>
      <x:c r="C8" t="str">
        <x:v>maria.petrova4@gmail.com</x:v>
      </x:c>
      <x:c r="D8" t="str">
        <x:v>+3725204622</x:v>
      </x:c>
      <x:c r="E8" t="str">
        <x:v>Vilnius</x:v>
      </x:c>
      <x:c r="F8" s="38" t="n">
        <x:v>46035</x:v>
      </x:c>
      <x:c r="G8" t="str">
        <x:v>Premium Tea</x:v>
      </x:c>
      <x:c r="H8" t="str">
        <x:v>Food</x:v>
      </x:c>
      <x:c r="I8" s="40" t="n">
        <x:v>38.47</x:v>
      </x:c>
      <x:c r="J8" t="str">
        <x:v>REFUNDED</x:v>
      </x:c>
      <x:c r="K8" t="str">
        <x:v>Unique</x:v>
      </x:c>
      <x:c r="L8" t="str">
        <x:v>OK</x:v>
      </x:c>
    </x:row>
    <x:row r="9">
      <x:c r="A9" t="str">
        <x:v>ORD-1005</x:v>
      </x:c>
      <x:c r="B9" t="str">
        <x:v>Maria Petrova</x:v>
      </x:c>
      <x:c r="C9" t="str">
        <x:v>maria.petrova5@example.com</x:v>
      </x:c>
      <x:c r="D9" t="str">
        <x:v>+3725923509</x:v>
      </x:c>
      <x:c r="E9" t="str">
        <x:v>Warsaw</x:v>
      </x:c>
      <x:c r="F9" s="38" t="n">
        <x:v>46152</x:v>
      </x:c>
      <x:c r="G9" t="str">
        <x:v>USB-C Cable</x:v>
      </x:c>
      <x:c r="H9" t="str">
        <x:v>Electronics</x:v>
      </x:c>
      <x:c r="I9" s="40" t="n">
        <x:v>19.65</x:v>
      </x:c>
      <x:c r="J9" t="str">
        <x:v>REFUNDED</x:v>
      </x:c>
      <x:c r="K9" t="str">
        <x:v>Unique</x:v>
      </x:c>
      <x:c r="L9" t="str">
        <x:v>OK</x:v>
      </x:c>
    </x:row>
    <x:row r="10">
      <x:c r="A10" t="str">
        <x:v>ORD-1006</x:v>
      </x:c>
      <x:c r="B10" t="str">
        <x:v>Alina Fedorova</x:v>
      </x:c>
      <x:c r="C10" t="str">
        <x:v>alina.fedorova6@mail.com</x:v>
      </x:c>
      <x:c r="D10" t="str">
        <x:v>+3725461462</x:v>
      </x:c>
      <x:c r="E10" t="str">
        <x:v>Riga</x:v>
      </x:c>
      <x:c r="F10" s="38" t="n">
        <x:v>46099</x:v>
      </x:c>
      <x:c r="G10" t="str">
        <x:v>Wireless Mouse</x:v>
      </x:c>
      <x:c r="H10" t="str">
        <x:v>Electronics</x:v>
      </x:c>
      <x:c r="I10" s="40" t="n">
        <x:v>25.94</x:v>
      </x:c>
      <x:c r="J10" t="str">
        <x:v>PAID</x:v>
      </x:c>
      <x:c r="K10" t="str">
        <x:v>Unique</x:v>
      </x:c>
      <x:c r="L10" t="str">
        <x:v>OK</x:v>
      </x:c>
    </x:row>
    <x:row r="11">
      <x:c r="A11" t="str">
        <x:v>ORD-1007</x:v>
      </x:c>
      <x:c r="B11" t="str">
        <x:v>Irina Popova</x:v>
      </x:c>
      <x:c r="C11" t="str">
        <x:v>irina.popova7@gmail.com</x:v>
      </x:c>
      <x:c r="D11" t="str">
        <x:v>+3725664168</x:v>
      </x:c>
      <x:c r="E11" t="str">
        <x:v>Helsinki</x:v>
      </x:c>
      <x:c r="F11" s="38" t="n">
        <x:v>46119</x:v>
      </x:c>
      <x:c r="G11" t="str">
        <x:v>Wireless Mouse</x:v>
      </x:c>
      <x:c r="H11" t="str">
        <x:v>Electronics</x:v>
      </x:c>
      <x:c r="I11" s="40" t="n">
        <x:v>138.94</x:v>
      </x:c>
      <x:c r="J11" t="str">
        <x:v>PAID</x:v>
      </x:c>
      <x:c r="K11" t="str">
        <x:v>Unique</x:v>
      </x:c>
      <x:c r="L11" t="str">
        <x:v>OK</x:v>
      </x:c>
    </x:row>
    <x:row r="12">
      <x:c r="A12" t="str">
        <x:v>ORD-1008</x:v>
      </x:c>
      <x:c r="B12" t="str">
        <x:v>Nina Volkova</x:v>
      </x:c>
      <x:c r="C12" t="str">
        <x:v>nina.volkova8@mail.com</x:v>
      </x:c>
      <x:c r="D12" t="str">
        <x:v>+3725527135</x:v>
      </x:c>
      <x:c r="E12" t="str">
        <x:v>Tallinn</x:v>
      </x:c>
      <x:c r="F12" s="38" t="n">
        <x:v>46073</x:v>
      </x:c>
      <x:c r="G12" t="str">
        <x:v>Water Bottle</x:v>
      </x:c>
      <x:c r="H12" t="str">
        <x:v>Sports</x:v>
      </x:c>
      <x:c r="I12" s="40" t="n">
        <x:v>76.77</x:v>
      </x:c>
      <x:c r="J12" t="str">
        <x:v>CANCELLED</x:v>
      </x:c>
      <x:c r="K12" t="str">
        <x:v>Unique</x:v>
      </x:c>
      <x:c r="L12" t="str">
        <x:v>OK</x:v>
      </x:c>
    </x:row>
    <x:row r="13">
      <x:c r="A13" t="str">
        <x:v>ORD-1009</x:v>
      </x:c>
      <x:c r="B13" t="str">
        <x:v>Irina Popova</x:v>
      </x:c>
      <x:c r="C13" t="str">
        <x:v>irina.popova9@gmail.com</x:v>
      </x:c>
      <x:c r="D13" t="str">
        <x:v>+3725205084</x:v>
      </x:c>
      <x:c r="E13" t="str">
        <x:v>Tallinn</x:v>
      </x:c>
      <x:c r="F13" s="38" t="n">
        <x:v>46153</x:v>
      </x:c>
      <x:c r="G13" t="str">
        <x:v>Desk Lamp</x:v>
      </x:c>
      <x:c r="H13" t="str">
        <x:v>Home</x:v>
      </x:c>
      <x:c r="I13" s="40" t="n">
        <x:v>32.17</x:v>
      </x:c>
      <x:c r="J13" t="str">
        <x:v>PAID</x:v>
      </x:c>
      <x:c r="K13" t="str">
        <x:v>Unique</x:v>
      </x:c>
      <x:c r="L13" t="str">
        <x:v>OK</x:v>
      </x:c>
    </x:row>
    <x:row r="14">
      <x:c r="A14" t="str">
        <x:v>ORD-1010</x:v>
      </x:c>
      <x:c r="B14" t="str">
        <x:v>Sofia Morozova</x:v>
      </x:c>
      <x:c r="C14" t="str">
        <x:v>sofia.morozova10@example.com</x:v>
      </x:c>
      <x:c r="D14" t="str">
        <x:v>+3725392173</x:v>
      </x:c>
      <x:c r="E14" t="str">
        <x:v>Tallinn</x:v>
      </x:c>
      <x:c r="F14" s="38" t="n">
        <x:v>46096</x:v>
      </x:c>
      <x:c r="G14" t="str">
        <x:v>Coffee Beans</x:v>
      </x:c>
      <x:c r="H14" t="str">
        <x:v>Food</x:v>
      </x:c>
      <x:c r="I14" s="40" t="n">
        <x:v>68.29</x:v>
      </x:c>
      <x:c r="J14" t="str">
        <x:v>PAID</x:v>
      </x:c>
      <x:c r="K14" t="str">
        <x:v>Unique</x:v>
      </x:c>
      <x:c r="L14" t="str">
        <x:v>OK</x:v>
      </x:c>
    </x:row>
    <x:row r="15">
      <x:c r="A15" t="str">
        <x:v>ORD-1011</x:v>
      </x:c>
      <x:c r="B15" t="str">
        <x:v>Elena Smirnova</x:v>
      </x:c>
      <x:c r="C15" t="str">
        <x:v>elena.smirnova11@gmail.com</x:v>
      </x:c>
      <x:c r="D15" t="str">
        <x:v>+3725210197</x:v>
      </x:c>
      <x:c r="E15" t="str">
        <x:v>Warsaw</x:v>
      </x:c>
      <x:c r="F15" s="38" t="n">
        <x:v>46116</x:v>
      </x:c>
      <x:c r="G15" t="str">
        <x:v>Desk Lamp</x:v>
      </x:c>
      <x:c r="H15" t="str">
        <x:v>Home</x:v>
      </x:c>
      <x:c r="I15" s="40" t="n">
        <x:v>153.19</x:v>
      </x:c>
      <x:c r="J15" t="str">
        <x:v>PAID</x:v>
      </x:c>
      <x:c r="K15" t="str">
        <x:v>Unique</x:v>
      </x:c>
      <x:c r="L15" t="str">
        <x:v>OK</x:v>
      </x:c>
    </x:row>
    <x:row r="16">
      <x:c r="A16" t="str">
        <x:v>ORD-1012</x:v>
      </x:c>
      <x:c r="B16" t="str">
        <x:v>Nina Volkova</x:v>
      </x:c>
      <x:c r="C16" t="str">
        <x:v>nina.volkova12@example.com</x:v>
      </x:c>
      <x:c r="D16" t="str">
        <x:v>+3725818743</x:v>
      </x:c>
      <x:c r="E16" t="str">
        <x:v>Warsaw</x:v>
      </x:c>
      <x:c r="F16" s="38" t="n">
        <x:v>46149</x:v>
      </x:c>
      <x:c r="G16" t="str">
        <x:v>USB-C Cable</x:v>
      </x:c>
      <x:c r="H16" t="str">
        <x:v>Electronics</x:v>
      </x:c>
      <x:c r="I16" s="40" t="n">
        <x:v>43.77</x:v>
      </x:c>
      <x:c r="J16" t="str">
        <x:v>PAID</x:v>
      </x:c>
      <x:c r="K16" t="str">
        <x:v>Unique</x:v>
      </x:c>
      <x:c r="L16" t="str">
        <x:v>OK</x:v>
      </x:c>
    </x:row>
    <x:row r="17">
      <x:c r="A17" t="str">
        <x:v>ORD-1013</x:v>
      </x:c>
      <x:c r="B17" t="str">
        <x:v>Anna Ivanova</x:v>
      </x:c>
      <x:c r="C17" t="str">
        <x:v>anna.ivanova13@mail.com</x:v>
      </x:c>
      <x:c r="D17" t="str">
        <x:v>+3725114321</x:v>
      </x:c>
      <x:c r="E17" t="str">
        <x:v>Helsinki</x:v>
      </x:c>
      <x:c r="F17" s="38" t="n">
        <x:v>46033</x:v>
      </x:c>
      <x:c r="G17" t="str">
        <x:v>Notebook A5</x:v>
      </x:c>
      <x:c r="H17" t="str">
        <x:v>Office</x:v>
      </x:c>
      <x:c r="I17" s="40" t="n">
        <x:v>18.98</x:v>
      </x:c>
      <x:c r="J17" t="str">
        <x:v>PENDING</x:v>
      </x:c>
      <x:c r="K17" t="str">
        <x:v>Unique</x:v>
      </x:c>
      <x:c r="L17" t="str">
        <x:v>OK</x:v>
      </x:c>
    </x:row>
    <x:row r="18">
      <x:c r="A18" t="str">
        <x:v>ORD-1014</x:v>
      </x:c>
      <x:c r="B18" t="str">
        <x:v>Daria Kuznetsova</x:v>
      </x:c>
      <x:c r="C18" t="str">
        <x:v>daria.kuznetsova14@gmail.com</x:v>
      </x:c>
      <x:c r="D18" t="str">
        <x:v>+3725161532</x:v>
      </x:c>
      <x:c r="E18" t="str">
        <x:v>Tallinn</x:v>
      </x:c>
      <x:c r="F18" s="38" t="n">
        <x:v>46131</x:v>
      </x:c>
      <x:c r="G18" t="str">
        <x:v>Notebook A5</x:v>
      </x:c>
      <x:c r="H18" t="str">
        <x:v>Office</x:v>
      </x:c>
      <x:c r="I18" s="40" t="n">
        <x:v>4.24</x:v>
      </x:c>
      <x:c r="J18" t="str">
        <x:v>PENDING</x:v>
      </x:c>
      <x:c r="K18" t="str">
        <x:v>Unique</x:v>
      </x:c>
      <x:c r="L18" t="str">
        <x:v>OK</x:v>
      </x:c>
    </x:row>
    <x:row r="19">
      <x:c r="A19" t="str">
        <x:v>ORD-1015</x:v>
      </x:c>
      <x:c r="B19" t="str">
        <x:v>Irina Popova</x:v>
      </x:c>
      <x:c r="C19" t="str">
        <x:v>irina.popova15@gmail.com</x:v>
      </x:c>
      <x:c r="D19" t="str">
        <x:v>+3725138838</x:v>
      </x:c>
      <x:c r="E19" t="str">
        <x:v>Helsinki</x:v>
      </x:c>
      <x:c r="F19" s="38" t="n">
        <x:v>46115</x:v>
      </x:c>
      <x:c r="G19" t="str">
        <x:v>Desk Lamp</x:v>
      </x:c>
      <x:c r="H19" t="str">
        <x:v>Home</x:v>
      </x:c>
      <x:c r="I19" s="40" t="n">
        <x:v>64.15</x:v>
      </x:c>
      <x:c r="J19" t="str">
        <x:v>PAID</x:v>
      </x:c>
      <x:c r="K19" t="str">
        <x:v>Unique</x:v>
      </x:c>
      <x:c r="L19" t="str">
        <x:v>OK</x:v>
      </x:c>
    </x:row>
    <x:row r="20">
      <x:c r="A20" t="str">
        <x:v>ORD-1016</x:v>
      </x:c>
      <x:c r="B20" t="str">
        <x:v>Sofia Morozova</x:v>
      </x:c>
      <x:c r="C20" t="str">
        <x:v>sofia.morozova16@example.com</x:v>
      </x:c>
      <x:c r="D20" t="str">
        <x:v>+3725501820</x:v>
      </x:c>
      <x:c r="E20" t="str">
        <x:v>Warsaw</x:v>
      </x:c>
      <x:c r="F20" s="38" t="n">
        <x:v>46029</x:v>
      </x:c>
      <x:c r="G20" t="str">
        <x:v>USB-C Cable</x:v>
      </x:c>
      <x:c r="H20" t="str">
        <x:v>Electronics</x:v>
      </x:c>
      <x:c r="I20" s="40" t="n">
        <x:v>41.19</x:v>
      </x:c>
      <x:c r="J20" t="str">
        <x:v>CANCELLED</x:v>
      </x:c>
      <x:c r="K20" t="str">
        <x:v>Unique</x:v>
      </x:c>
      <x:c r="L20" t="str">
        <x:v>OK</x:v>
      </x:c>
    </x:row>
    <x:row r="21">
      <x:c r="A21" t="str">
        <x:v>ORD-1017</x:v>
      </x:c>
      <x:c r="B21" t="str">
        <x:v>Maria Petrova</x:v>
      </x:c>
      <x:c r="C21" t="str">
        <x:v>maria.petrova17@example.com</x:v>
      </x:c>
      <x:c r="D21" t="str">
        <x:v>+3725156883</x:v>
      </x:c>
      <x:c r="E21" t="str">
        <x:v>Helsinki</x:v>
      </x:c>
      <x:c r="F21" s="38" t="n">
        <x:v>46071</x:v>
      </x:c>
      <x:c r="G21" t="str">
        <x:v>Desk Lamp</x:v>
      </x:c>
      <x:c r="H21" t="str">
        <x:v>Home</x:v>
      </x:c>
      <x:c r="I21" s="40" t="n">
        <x:v>89.34</x:v>
      </x:c>
      <x:c r="J21" t="str">
        <x:v>REFUNDED</x:v>
      </x:c>
      <x:c r="K21" t="str">
        <x:v>Unique</x:v>
      </x:c>
      <x:c r="L21" t="str">
        <x:v>OK</x:v>
      </x:c>
    </x:row>
    <x:row r="22">
      <x:c r="A22" t="str">
        <x:v>ORD-1018</x:v>
      </x:c>
      <x:c r="B22" t="str">
        <x:v>Anna Ivanova</x:v>
      </x:c>
      <x:c r="C22" t="str">
        <x:v>anna.ivanova18@gmail.com</x:v>
      </x:c>
      <x:c r="D22" t="str">
        <x:v>+3725764868</x:v>
      </x:c>
      <x:c r="E22" t="str">
        <x:v>Warsaw</x:v>
      </x:c>
      <x:c r="F22" s="38" t="n">
        <x:v>46070</x:v>
      </x:c>
      <x:c r="G22" t="str">
        <x:v>Notebook A5</x:v>
      </x:c>
      <x:c r="H22" t="str">
        <x:v>Office</x:v>
      </x:c>
      <x:c r="I22" s="40" t="n">
        <x:v>4.27</x:v>
      </x:c>
      <x:c r="J22" t="str">
        <x:v>PENDING</x:v>
      </x:c>
      <x:c r="K22" t="str">
        <x:v>Unique</x:v>
      </x:c>
      <x:c r="L22" t="str">
        <x:v>OK</x:v>
      </x:c>
    </x:row>
    <x:row r="23">
      <x:c r="A23" t="str">
        <x:v>ORD-1019</x:v>
      </x:c>
      <x:c r="B23" t="str">
        <x:v>Alina Fedorova</x:v>
      </x:c>
      <x:c r="C23" t="str">
        <x:v>alina.fedorova19@gmail.com</x:v>
      </x:c>
      <x:c r="D23" t="str">
        <x:v>+3725717715</x:v>
      </x:c>
      <x:c r="E23" t="str">
        <x:v>Tallinn</x:v>
      </x:c>
      <x:c r="F23" s="38" t="n">
        <x:v>46153</x:v>
      </x:c>
      <x:c r="G23" t="str">
        <x:v>USB-C Cable</x:v>
      </x:c>
      <x:c r="H23" t="str">
        <x:v>Electronics</x:v>
      </x:c>
      <x:c r="I23" s="40" t="n">
        <x:v>43.75</x:v>
      </x:c>
      <x:c r="J23" t="str">
        <x:v>PAID</x:v>
      </x:c>
      <x:c r="K23" t="str">
        <x:v>Unique</x:v>
      </x:c>
      <x:c r="L23" t="str">
        <x:v>OK</x:v>
      </x:c>
    </x:row>
    <x:row r="24">
      <x:c r="A24" t="str">
        <x:v>ORD-1020</x:v>
      </x:c>
      <x:c r="B24" t="str">
        <x:v>Irina Popova</x:v>
      </x:c>
      <x:c r="C24" t="str">
        <x:v>irina.popova20@example.com</x:v>
      </x:c>
      <x:c r="D24" t="str">
        <x:v>+3725830743</x:v>
      </x:c>
      <x:c r="E24" t="str">
        <x:v>Warsaw</x:v>
      </x:c>
      <x:c r="F24" s="38" t="n">
        <x:v>46116</x:v>
      </x:c>
      <x:c r="G24" t="str">
        <x:v>Desk Lamp</x:v>
      </x:c>
      <x:c r="H24" t="str">
        <x:v>Home</x:v>
      </x:c>
      <x:c r="I24" s="40" t="n">
        <x:v>28.82</x:v>
      </x:c>
      <x:c r="J24" t="str">
        <x:v>PENDING</x:v>
      </x:c>
      <x:c r="K24" t="str">
        <x:v>Unique</x:v>
      </x:c>
      <x:c r="L24" t="str">
        <x:v>OK</x:v>
      </x:c>
    </x:row>
    <x:row r="25">
      <x:c r="A25" t="str">
        <x:v>ORD-1021</x:v>
      </x:c>
      <x:c r="B25" t="str">
        <x:v>Sofia Morozova</x:v>
      </x:c>
      <x:c r="C25" t="str">
        <x:v>sofia.morozova21@mail.com</x:v>
      </x:c>
      <x:c r="D25" t="str">
        <x:v>+3725126959</x:v>
      </x:c>
      <x:c r="E25" t="str">
        <x:v>Helsinki</x:v>
      </x:c>
      <x:c r="F25" s="38" t="n">
        <x:v>46120</x:v>
      </x:c>
      <x:c r="G25" t="str">
        <x:v>Wireless Mouse</x:v>
      </x:c>
      <x:c r="H25" t="str">
        <x:v>Electronics</x:v>
      </x:c>
      <x:c r="I25" s="40" t="n">
        <x:v>104.41</x:v>
      </x:c>
      <x:c r="J25" t="str">
        <x:v>PAID</x:v>
      </x:c>
      <x:c r="K25" t="str">
        <x:v>Unique</x:v>
      </x:c>
      <x:c r="L25" t="str">
        <x:v>OK</x:v>
      </x:c>
    </x:row>
    <x:row r="26">
      <x:c r="A26" t="str">
        <x:v>ORD-1022</x:v>
      </x:c>
      <x:c r="B26" t="str">
        <x:v>Elena Smirnova</x:v>
      </x:c>
      <x:c r="C26" t="str">
        <x:v>elena.smirnova22@example.com</x:v>
      </x:c>
      <x:c r="D26" t="str">
        <x:v>+3725516262</x:v>
      </x:c>
      <x:c r="E26" t="str">
        <x:v>Riga</x:v>
      </x:c>
      <x:c r="F26" s="38" t="n">
        <x:v>46150</x:v>
      </x:c>
      <x:c r="G26" t="str">
        <x:v>Desk Lamp</x:v>
      </x:c>
      <x:c r="H26" t="str">
        <x:v>Home</x:v>
      </x:c>
      <x:c r="I26" s="40" t="n">
        <x:v>96.57</x:v>
      </x:c>
      <x:c r="J26" t="str">
        <x:v>PAID</x:v>
      </x:c>
      <x:c r="K26" t="str">
        <x:v>Unique</x:v>
      </x:c>
      <x:c r="L26" t="str">
        <x:v>OK</x:v>
      </x:c>
    </x:row>
    <x:row r="27">
      <x:c r="A27" t="str">
        <x:v>ORD-1023</x:v>
      </x:c>
      <x:c r="B27" t="str">
        <x:v>Maria Petrova</x:v>
      </x:c>
      <x:c r="C27" t="str">
        <x:v>maria.petrova23@mail.com</x:v>
      </x:c>
      <x:c r="D27" t="str">
        <x:v>+3725793179</x:v>
      </x:c>
      <x:c r="E27" t="str">
        <x:v>Vilnius</x:v>
      </x:c>
      <x:c r="F27" s="38" t="n">
        <x:v>46047</x:v>
      </x:c>
      <x:c r="G27" t="str">
        <x:v>Coffee Beans</x:v>
      </x:c>
      <x:c r="H27" t="str">
        <x:v>Food</x:v>
      </x:c>
      <x:c r="I27" s="40" t="n">
        <x:v>53.15</x:v>
      </x:c>
      <x:c r="J27" t="str">
        <x:v>CANCELLED</x:v>
      </x:c>
      <x:c r="K27" t="str">
        <x:v>Unique</x:v>
      </x:c>
      <x:c r="L27" t="str">
        <x:v>OK</x:v>
      </x:c>
    </x:row>
    <x:row r="28">
      <x:c r="A28" t="str">
        <x:v>ORD-1024</x:v>
      </x:c>
      <x:c r="B28" t="str">
        <x:v>Sofia Morozova</x:v>
      </x:c>
      <x:c r="C28" t="str">
        <x:v>sofia.morozova24@example.com</x:v>
      </x:c>
      <x:c r="D28" t="str">
        <x:v>+3725104348</x:v>
      </x:c>
      <x:c r="E28" t="str">
        <x:v>Riga</x:v>
      </x:c>
      <x:c r="F28" s="38" t="n">
        <x:v>46146</x:v>
      </x:c>
      <x:c r="G28" t="str">
        <x:v>Coffee Beans</x:v>
      </x:c>
      <x:c r="H28" t="str">
        <x:v>Food</x:v>
      </x:c>
      <x:c r="I28" s="40" t="n">
        <x:v>66.12</x:v>
      </x:c>
      <x:c r="J28" t="str">
        <x:v>PAID</x:v>
      </x:c>
      <x:c r="K28" t="str">
        <x:v>Unique</x:v>
      </x:c>
      <x:c r="L28" t="str">
        <x:v>OK</x:v>
      </x:c>
    </x:row>
    <x:row r="29">
      <x:c r="A29" t="str">
        <x:v>ORD-1025</x:v>
      </x:c>
      <x:c r="B29" t="str">
        <x:v>Maria Petrova</x:v>
      </x:c>
      <x:c r="C29" t="str">
        <x:v>maria.petrova25@gmail.com</x:v>
      </x:c>
      <x:c r="D29" t="str">
        <x:v>+3725978933</x:v>
      </x:c>
      <x:c r="E29" t="str">
        <x:v>Tartu</x:v>
      </x:c>
      <x:c r="F29" s="38" t="n">
        <x:v>46091</x:v>
      </x:c>
      <x:c r="G29" t="str">
        <x:v>Water Bottle</x:v>
      </x:c>
      <x:c r="H29" t="str">
        <x:v>Sports</x:v>
      </x:c>
      <x:c r="I29" s="40" t="n">
        <x:v>80.15</x:v>
      </x:c>
      <x:c r="J29" t="str">
        <x:v>PAID</x:v>
      </x:c>
      <x:c r="K29" t="str">
        <x:v>Unique</x:v>
      </x:c>
      <x:c r="L29" t="str">
        <x:v>OK</x:v>
      </x:c>
    </x:row>
    <x:row r="30">
      <x:c r="A30" t="str">
        <x:v>ORD-1026</x:v>
      </x:c>
      <x:c r="B30" t="str">
        <x:v>Alina Fedorova</x:v>
      </x:c>
      <x:c r="C30" t="str">
        <x:v>alina.fedorova26@example.com</x:v>
      </x:c>
      <x:c r="D30" t="str">
        <x:v>+3725475216</x:v>
      </x:c>
      <x:c r="E30" t="str">
        <x:v>Tartu</x:v>
      </x:c>
      <x:c r="F30" s="38" t="n">
        <x:v>46051</x:v>
      </x:c>
      <x:c r="G30" t="str">
        <x:v>Notebook A5</x:v>
      </x:c>
      <x:c r="H30" t="str">
        <x:v>Office</x:v>
      </x:c>
      <x:c r="I30" s="40" t="n">
        <x:v>19.8</x:v>
      </x:c>
      <x:c r="J30" t="str">
        <x:v>PENDING</x:v>
      </x:c>
      <x:c r="K30" t="str">
        <x:v>Unique</x:v>
      </x:c>
      <x:c r="L30" t="str">
        <x:v>OK</x:v>
      </x:c>
    </x:row>
    <x:row r="31">
      <x:c r="A31" t="str">
        <x:v>ORD-1027</x:v>
      </x:c>
      <x:c r="B31" t="str">
        <x:v>Irina Popova</x:v>
      </x:c>
      <x:c r="C31" t="str">
        <x:v>irina.popova27@example.com</x:v>
      </x:c>
      <x:c r="D31" t="str">
        <x:v>+3725334980</x:v>
      </x:c>
      <x:c r="E31" t="str">
        <x:v>Helsinki</x:v>
      </x:c>
      <x:c r="F31" s="38" t="n">
        <x:v>46141</x:v>
      </x:c>
      <x:c r="G31" t="str">
        <x:v>Notebook A5</x:v>
      </x:c>
      <x:c r="H31" t="str">
        <x:v>Office</x:v>
      </x:c>
      <x:c r="I31" s="40" t="n">
        <x:v>12.58</x:v>
      </x:c>
      <x:c r="J31" t="str">
        <x:v>CANCELLED</x:v>
      </x:c>
      <x:c r="K31" t="str">
        <x:v>Unique</x:v>
      </x:c>
      <x:c r="L31" t="str">
        <x:v>OK</x:v>
      </x:c>
    </x:row>
    <x:row r="32">
      <x:c r="A32" t="str">
        <x:v>ORD-1028</x:v>
      </x:c>
      <x:c r="B32" t="str">
        <x:v>Irina Popova</x:v>
      </x:c>
      <x:c r="C32" t="str">
        <x:v>irina.popova28@mail.com</x:v>
      </x:c>
      <x:c r="D32" t="str">
        <x:v>+3725611115</x:v>
      </x:c>
      <x:c r="E32" t="str">
        <x:v>Riga</x:v>
      </x:c>
      <x:c r="F32" s="38" t="n">
        <x:v>46158</x:v>
      </x:c>
      <x:c r="G32" t="str">
        <x:v>Wireless Mouse</x:v>
      </x:c>
      <x:c r="H32" t="str">
        <x:v>Electronics</x:v>
      </x:c>
      <x:c r="I32" s="40" t="n">
        <x:v>25.59</x:v>
      </x:c>
      <x:c r="J32" t="str">
        <x:v>CANCELLED</x:v>
      </x:c>
      <x:c r="K32" t="str">
        <x:v>Unique</x:v>
      </x:c>
      <x:c r="L32" t="str">
        <x:v>OK</x:v>
      </x:c>
    </x:row>
    <x:row r="33">
      <x:c r="A33" t="str">
        <x:v>ORD-1029</x:v>
      </x:c>
      <x:c r="B33" t="str">
        <x:v>Elena Smirnova</x:v>
      </x:c>
      <x:c r="C33" t="str">
        <x:v>elena.smirnova29@mail.com</x:v>
      </x:c>
      <x:c r="D33" t="str">
        <x:v>+3725223304</x:v>
      </x:c>
      <x:c r="E33" t="str">
        <x:v>Riga</x:v>
      </x:c>
      <x:c r="F33" s="38" t="n">
        <x:v>46094</x:v>
      </x:c>
      <x:c r="G33" t="str">
        <x:v>USB-C Cable</x:v>
      </x:c>
      <x:c r="H33" t="str">
        <x:v>Electronics</x:v>
      </x:c>
      <x:c r="I33" s="40" t="n">
        <x:v>40.92</x:v>
      </x:c>
      <x:c r="J33" t="str">
        <x:v>CANCELLED</x:v>
      </x:c>
      <x:c r="K33" t="str">
        <x:v>Unique</x:v>
      </x:c>
      <x:c r="L33" t="str">
        <x:v>OK</x:v>
      </x:c>
    </x:row>
    <x:row r="34">
      <x:c r="A34" t="str">
        <x:v>ORD-1030</x:v>
      </x:c>
      <x:c r="B34" t="str">
        <x:v>Nina Volkova</x:v>
      </x:c>
      <x:c r="C34" t="str">
        <x:v>nina.volkova30@gmail.com</x:v>
      </x:c>
      <x:c r="D34" t="str">
        <x:v>+3725544231</x:v>
      </x:c>
      <x:c r="E34" t="str">
        <x:v>Vilnius</x:v>
      </x:c>
      <x:c r="F34" s="38" t="n">
        <x:v>46165</x:v>
      </x:c>
      <x:c r="G34" t="str">
        <x:v>Premium Tea</x:v>
      </x:c>
      <x:c r="H34" t="str">
        <x:v>Food</x:v>
      </x:c>
      <x:c r="I34" s="40" t="n">
        <x:v>31.17</x:v>
      </x:c>
      <x:c r="J34" t="str">
        <x:v>CANCELLED</x:v>
      </x:c>
      <x:c r="K34" t="str">
        <x:v>Unique</x:v>
      </x:c>
      <x:c r="L34" t="str">
        <x:v>OK</x:v>
      </x:c>
    </x:row>
    <x:row r="35">
      <x:c r="A35" t="str">
        <x:v>ORD-1031</x:v>
      </x:c>
      <x:c r="B35" t="str">
        <x:v>Nina Volkova</x:v>
      </x:c>
      <x:c r="C35" t="str">
        <x:v>nina.volkova31@mail.com</x:v>
      </x:c>
      <x:c r="D35" t="str">
        <x:v>+3725907450</x:v>
      </x:c>
      <x:c r="E35" t="str">
        <x:v>Tartu</x:v>
      </x:c>
      <x:c r="F35" s="38" t="n">
        <x:v>46144</x:v>
      </x:c>
      <x:c r="G35" t="str">
        <x:v>Yoga Mat</x:v>
      </x:c>
      <x:c r="H35" t="str">
        <x:v>Sports</x:v>
      </x:c>
      <x:c r="I35" s="40" t="n">
        <x:v>64.02</x:v>
      </x:c>
      <x:c r="J35" t="str">
        <x:v>PENDING</x:v>
      </x:c>
      <x:c r="K35" t="str">
        <x:v>Unique</x:v>
      </x:c>
      <x:c r="L35" t="str">
        <x:v>OK</x:v>
      </x:c>
    </x:row>
    <x:row r="36">
      <x:c r="A36" t="str">
        <x:v>ORD-1032</x:v>
      </x:c>
      <x:c r="B36" t="str">
        <x:v>Olga Sokolova</x:v>
      </x:c>
      <x:c r="C36" t="str">
        <x:v>olga.sokolova32@mail.com</x:v>
      </x:c>
      <x:c r="D36" t="str">
        <x:v>+3725766489</x:v>
      </x:c>
      <x:c r="E36" t="str">
        <x:v>Helsinki</x:v>
      </x:c>
      <x:c r="F36" s="38" t="n">
        <x:v>46165</x:v>
      </x:c>
      <x:c r="G36" t="str">
        <x:v>Wireless Mouse</x:v>
      </x:c>
      <x:c r="H36" t="str">
        <x:v>Electronics</x:v>
      </x:c>
      <x:c r="I36" s="40" t="n">
        <x:v>48.31</x:v>
      </x:c>
      <x:c r="J36" t="str">
        <x:v>PAID</x:v>
      </x:c>
      <x:c r="K36" t="str">
        <x:v>Unique</x:v>
      </x:c>
      <x:c r="L36" t="str">
        <x:v>OK</x:v>
      </x:c>
    </x:row>
    <x:row r="37">
      <x:c r="A37" t="str">
        <x:v>ORD-1033</x:v>
      </x:c>
      <x:c r="B37" t="str">
        <x:v>Alina Fedorova</x:v>
      </x:c>
      <x:c r="C37" t="str">
        <x:v>alina.fedorova33@gmail.com</x:v>
      </x:c>
      <x:c r="D37" t="str">
        <x:v>+3725648506</x:v>
      </x:c>
      <x:c r="E37" t="str">
        <x:v>Vilnius</x:v>
      </x:c>
      <x:c r="F37" s="38" t="n">
        <x:v>46074</x:v>
      </x:c>
      <x:c r="G37" t="str">
        <x:v>Water Bottle</x:v>
      </x:c>
      <x:c r="H37" t="str">
        <x:v>Sports</x:v>
      </x:c>
      <x:c r="I37" s="40" t="n">
        <x:v>17.35</x:v>
      </x:c>
      <x:c r="J37" t="str">
        <x:v>PAID</x:v>
      </x:c>
      <x:c r="K37" t="str">
        <x:v>Unique</x:v>
      </x:c>
      <x:c r="L37" t="str">
        <x:v>OK</x:v>
      </x:c>
    </x:row>
    <x:row r="38">
      <x:c r="A38" t="str">
        <x:v>ORD-1034</x:v>
      </x:c>
      <x:c r="B38" t="str">
        <x:v>Nina Volkova</x:v>
      </x:c>
      <x:c r="C38" t="str">
        <x:v>nina.volkova34@gmail.com</x:v>
      </x:c>
      <x:c r="D38" t="str">
        <x:v>+3725275627</x:v>
      </x:c>
      <x:c r="E38" t="str">
        <x:v>Warsaw</x:v>
      </x:c>
      <x:c r="F38" s="38" t="n">
        <x:v>46069</x:v>
      </x:c>
      <x:c r="G38" t="str">
        <x:v>Water Bottle</x:v>
      </x:c>
      <x:c r="H38" t="str">
        <x:v>Sports</x:v>
      </x:c>
      <x:c r="I38" s="40" t="n">
        <x:v>87.7</x:v>
      </x:c>
      <x:c r="J38" t="str">
        <x:v>REFUNDED</x:v>
      </x:c>
      <x:c r="K38" t="str">
        <x:v>Unique</x:v>
      </x:c>
      <x:c r="L38" t="str">
        <x:v>OK</x:v>
      </x:c>
    </x:row>
    <x:row r="39">
      <x:c r="A39" t="str">
        <x:v>ORD-1035</x:v>
      </x:c>
      <x:c r="B39" t="str">
        <x:v>Elena Smirnova</x:v>
      </x:c>
      <x:c r="C39" t="str">
        <x:v>elena.smirnova35@mail.com</x:v>
      </x:c>
      <x:c r="D39" t="str">
        <x:v>+3725805264</x:v>
      </x:c>
      <x:c r="E39" t="str">
        <x:v>Warsaw</x:v>
      </x:c>
      <x:c r="F39" s="38" t="n">
        <x:v>46026</x:v>
      </x:c>
      <x:c r="G39" t="str">
        <x:v>Coffee Beans</x:v>
      </x:c>
      <x:c r="H39" t="str">
        <x:v>Food</x:v>
      </x:c>
      <x:c r="I39" s="40" t="n">
        <x:v>39.25</x:v>
      </x:c>
      <x:c r="J39" t="str">
        <x:v>CANCELLED</x:v>
      </x:c>
      <x:c r="K39" t="str">
        <x:v>Unique</x:v>
      </x:c>
      <x:c r="L39" t="str">
        <x:v>OK</x:v>
      </x:c>
    </x:row>
    <x:row r="40">
      <x:c r="A40" t="str">
        <x:v>ORD-1036</x:v>
      </x:c>
      <x:c r="B40" t="str">
        <x:v>Elena Smirnova</x:v>
      </x:c>
      <x:c r="C40" t="str">
        <x:v>elena.smirnova36@mail.com</x:v>
      </x:c>
      <x:c r="D40" t="str">
        <x:v>+3725628903</x:v>
      </x:c>
      <x:c r="E40" t="str">
        <x:v>Tartu</x:v>
      </x:c>
      <x:c r="F40" s="38" t="n">
        <x:v>46028</x:v>
      </x:c>
      <x:c r="G40" t="str">
        <x:v>Wireless Mouse</x:v>
      </x:c>
      <x:c r="H40" t="str">
        <x:v>Electronics</x:v>
      </x:c>
      <x:c r="I40" s="40" t="n">
        <x:v>71.69</x:v>
      </x:c>
      <x:c r="J40" t="str">
        <x:v>CANCELLED</x:v>
      </x:c>
      <x:c r="K40" t="str">
        <x:v>Unique</x:v>
      </x:c>
      <x:c r="L40" t="str">
        <x:v>OK</x:v>
      </x:c>
    </x:row>
    <x:row r="41">
      <x:c r="A41" t="str">
        <x:v>ORD-1037</x:v>
      </x:c>
      <x:c r="B41" t="str">
        <x:v>Nina Volkova</x:v>
      </x:c>
      <x:c r="C41" t="str">
        <x:v>nina.volkova37@gmail.com</x:v>
      </x:c>
      <x:c r="D41" t="str">
        <x:v>+3725584210</x:v>
      </x:c>
      <x:c r="E41" t="str">
        <x:v>Riga</x:v>
      </x:c>
      <x:c r="F41" s="38" t="n">
        <x:v>46070</x:v>
      </x:c>
      <x:c r="G41" t="str">
        <x:v>Wireless Mouse</x:v>
      </x:c>
      <x:c r="H41" t="str">
        <x:v>Electronics</x:v>
      </x:c>
      <x:c r="I41" s="40" t="n">
        <x:v>83.25</x:v>
      </x:c>
      <x:c r="J41" t="str">
        <x:v>PAID</x:v>
      </x:c>
      <x:c r="K41" t="str">
        <x:v>Unique</x:v>
      </x:c>
      <x:c r="L41" t="str">
        <x:v>OK</x:v>
      </x:c>
    </x:row>
    <x:row r="42">
      <x:c r="A42" t="str">
        <x:v>ORD-1038</x:v>
      </x:c>
      <x:c r="B42" t="str">
        <x:v>Alina Fedorova</x:v>
      </x:c>
      <x:c r="C42" t="str">
        <x:v>alina.fedorova38@gmail.com</x:v>
      </x:c>
      <x:c r="D42" t="str">
        <x:v>+3725124137</x:v>
      </x:c>
      <x:c r="E42" t="str">
        <x:v>Warsaw</x:v>
      </x:c>
      <x:c r="F42" s="38" t="n">
        <x:v>46080</x:v>
      </x:c>
      <x:c r="G42" t="str">
        <x:v>Yoga Mat</x:v>
      </x:c>
      <x:c r="H42" t="str">
        <x:v>Sports</x:v>
      </x:c>
      <x:c r="I42" s="40" t="n">
        <x:v>66.34</x:v>
      </x:c>
      <x:c r="J42" t="str">
        <x:v>PENDING</x:v>
      </x:c>
      <x:c r="K42" t="str">
        <x:v>Unique</x:v>
      </x:c>
      <x:c r="L42" t="str">
        <x:v>OK</x:v>
      </x:c>
    </x:row>
    <x:row r="43">
      <x:c r="A43" t="str">
        <x:v>ORD-1039</x:v>
      </x:c>
      <x:c r="B43" t="str">
        <x:v>Maria Petrova</x:v>
      </x:c>
      <x:c r="C43" t="str">
        <x:v>maria.petrova39@mail.com</x:v>
      </x:c>
      <x:c r="D43" t="str">
        <x:v>+3725552769</x:v>
      </x:c>
      <x:c r="E43" t="str">
        <x:v>Tallinn</x:v>
      </x:c>
      <x:c r="F43" s="38" t="n">
        <x:v>46088</x:v>
      </x:c>
      <x:c r="G43" t="str">
        <x:v>Premium Tea</x:v>
      </x:c>
      <x:c r="H43" t="str">
        <x:v>Food</x:v>
      </x:c>
      <x:c r="I43" s="40" t="n">
        <x:v>21.31</x:v>
      </x:c>
      <x:c r="J43" t="str">
        <x:v>CANCELLED</x:v>
      </x:c>
      <x:c r="K43" t="str">
        <x:v>Unique</x:v>
      </x:c>
      <x:c r="L43" t="str">
        <x:v>OK</x:v>
      </x:c>
    </x:row>
    <x:row r="44">
      <x:c r="A44" t="str">
        <x:v>ORD-1040</x:v>
      </x:c>
      <x:c r="B44" t="str">
        <x:v>Kate Brown</x:v>
      </x:c>
      <x:c r="C44" t="str">
        <x:v>kate.brown40@example.com</x:v>
      </x:c>
      <x:c r="D44" t="str">
        <x:v>+3725527021</x:v>
      </x:c>
      <x:c r="E44" t="str">
        <x:v>Riga</x:v>
      </x:c>
      <x:c r="F44" s="38" t="n">
        <x:v>46043</x:v>
      </x:c>
      <x:c r="G44" t="str">
        <x:v>Wireless Mouse</x:v>
      </x:c>
      <x:c r="H44" t="str">
        <x:v>Electronics</x:v>
      </x:c>
      <x:c r="I44" s="40" t="n">
        <x:v>125.44</x:v>
      </x:c>
      <x:c r="J44" t="str">
        <x:v>PENDING</x:v>
      </x:c>
      <x:c r="K44" t="str">
        <x:v>Unique</x:v>
      </x:c>
      <x:c r="L44" t="str">
        <x:v>OK</x:v>
      </x:c>
    </x:row>
    <x:row r="45">
      <x:c r="A45" t="str">
        <x:v>ORD-1041</x:v>
      </x:c>
      <x:c r="B45" t="str">
        <x:v>Sofia Morozova</x:v>
      </x:c>
      <x:c r="C45" t="str">
        <x:v>sofia.morozova41@gmail.com</x:v>
      </x:c>
      <x:c r="D45" t="str">
        <x:v>+3725373982</x:v>
      </x:c>
      <x:c r="E45" t="str">
        <x:v>Tallinn</x:v>
      </x:c>
      <x:c r="F45" s="38" t="n">
        <x:v>46138</x:v>
      </x:c>
      <x:c r="G45" t="str">
        <x:v>Coffee Beans</x:v>
      </x:c>
      <x:c r="H45" t="str">
        <x:v>Food</x:v>
      </x:c>
      <x:c r="I45" s="40" t="n">
        <x:v>63.35</x:v>
      </x:c>
      <x:c r="J45" t="str">
        <x:v>PAID</x:v>
      </x:c>
      <x:c r="K45" t="str">
        <x:v>Unique</x:v>
      </x:c>
      <x:c r="L45" t="str">
        <x:v>OK</x:v>
      </x:c>
    </x:row>
    <x:row r="46">
      <x:c r="A46" t="str">
        <x:v>ORD-1042</x:v>
      </x:c>
      <x:c r="B46" t="str">
        <x:v>Elena Smirnova</x:v>
      </x:c>
      <x:c r="C46" t="str">
        <x:v>elena.smirnova42@gmail.com</x:v>
      </x:c>
      <x:c r="D46" t="str">
        <x:v>+3725521447</x:v>
      </x:c>
      <x:c r="E46" t="str">
        <x:v>Warsaw</x:v>
      </x:c>
      <x:c r="F46" s="38" t="n">
        <x:v>46080</x:v>
      </x:c>
      <x:c r="G46" t="str">
        <x:v>Coffee Beans</x:v>
      </x:c>
      <x:c r="H46" t="str">
        <x:v>Food</x:v>
      </x:c>
      <x:c r="I46" s="40" t="n">
        <x:v>14</x:v>
      </x:c>
      <x:c r="J46" t="str">
        <x:v>PAID</x:v>
      </x:c>
      <x:c r="K46" t="str">
        <x:v>Unique</x:v>
      </x:c>
      <x:c r="L46" t="str">
        <x:v>OK</x:v>
      </x:c>
    </x:row>
    <x:row r="47">
      <x:c r="A47" t="str">
        <x:v>ORD-1043</x:v>
      </x:c>
      <x:c r="B47" t="str">
        <x:v>Elena Smirnova</x:v>
      </x:c>
      <x:c r="C47" t="str">
        <x:v>elena.smirnova43@gmail.com</x:v>
      </x:c>
      <x:c r="D47" t="str">
        <x:v>+3725116971</x:v>
      </x:c>
      <x:c r="E47" t="str">
        <x:v>Vilnius</x:v>
      </x:c>
      <x:c r="F47" s="38" t="n">
        <x:v>46140</x:v>
      </x:c>
      <x:c r="G47" t="str">
        <x:v>Desk Lamp</x:v>
      </x:c>
      <x:c r="H47" t="str">
        <x:v>Home</x:v>
      </x:c>
      <x:c r="I47" s="40" t="n">
        <x:v>145.13</x:v>
      </x:c>
      <x:c r="J47" t="str">
        <x:v>PAID</x:v>
      </x:c>
      <x:c r="K47" t="str">
        <x:v>Unique</x:v>
      </x:c>
      <x:c r="L47" t="str">
        <x:v>OK</x:v>
      </x:c>
    </x:row>
    <x:row r="48">
      <x:c r="A48" t="str">
        <x:v>ORD-1044</x:v>
      </x:c>
      <x:c r="B48" t="str">
        <x:v>Olga Sokolova</x:v>
      </x:c>
      <x:c r="C48" t="str">
        <x:v>olga.sokolova44@example.com</x:v>
      </x:c>
      <x:c r="D48" t="str">
        <x:v>+3725621662</x:v>
      </x:c>
      <x:c r="E48" t="str">
        <x:v>Helsinki</x:v>
      </x:c>
      <x:c r="F48" s="38" t="n">
        <x:v>46062</x:v>
      </x:c>
      <x:c r="G48" t="str">
        <x:v>Yoga Mat</x:v>
      </x:c>
      <x:c r="H48" t="str">
        <x:v>Sports</x:v>
      </x:c>
      <x:c r="I48" s="40" t="n">
        <x:v>132.56</x:v>
      </x:c>
      <x:c r="J48" t="str">
        <x:v>REFUNDED</x:v>
      </x:c>
      <x:c r="K48" t="str">
        <x:v>Unique</x:v>
      </x:c>
      <x:c r="L48" t="str">
        <x:v>OK</x:v>
      </x:c>
    </x:row>
    <x:row r="49">
      <x:c r="A49" t="str">
        <x:v>ORD-1045</x:v>
      </x:c>
      <x:c r="B49" t="str">
        <x:v>Sofia Morozova</x:v>
      </x:c>
      <x:c r="C49" t="str">
        <x:v>sofia.morozova45@example.com</x:v>
      </x:c>
      <x:c r="D49" t="str">
        <x:v>+3725142116</x:v>
      </x:c>
      <x:c r="E49" t="str">
        <x:v>Riga</x:v>
      </x:c>
      <x:c r="F49" s="38" t="n">
        <x:v>46046</x:v>
      </x:c>
      <x:c r="G49" t="str">
        <x:v>USB-C Cable</x:v>
      </x:c>
      <x:c r="H49" t="str">
        <x:v>Electronics</x:v>
      </x:c>
      <x:c r="I49" s="40" t="n">
        <x:v>42.68</x:v>
      </x:c>
      <x:c r="J49" t="str">
        <x:v>PENDING</x:v>
      </x:c>
      <x:c r="K49" t="str">
        <x:v>Unique</x:v>
      </x:c>
      <x:c r="L49" t="str">
        <x:v>OK</x:v>
      </x:c>
    </x:row>
    <x:row r="50">
      <x:c r="A50" t="str">
        <x:v>ORD-1046</x:v>
      </x:c>
      <x:c r="B50" t="str">
        <x:v>Elena Smirnova</x:v>
      </x:c>
      <x:c r="C50" t="str">
        <x:v>elena.smirnova46@example.com</x:v>
      </x:c>
      <x:c r="D50" t="str">
        <x:v>+3725324181</x:v>
      </x:c>
      <x:c r="E50" t="str">
        <x:v>Helsinki</x:v>
      </x:c>
      <x:c r="F50" s="38" t="n">
        <x:v>46151</x:v>
      </x:c>
      <x:c r="G50" t="str">
        <x:v>Wireless Mouse</x:v>
      </x:c>
      <x:c r="H50" t="str">
        <x:v>Electronics</x:v>
      </x:c>
      <x:c r="I50" s="40" t="n">
        <x:v>102.38</x:v>
      </x:c>
      <x:c r="J50" t="str">
        <x:v>REFUNDED</x:v>
      </x:c>
      <x:c r="K50" t="str">
        <x:v>Unique</x:v>
      </x:c>
      <x:c r="L50" t="str">
        <x:v>OK</x:v>
      </x:c>
    </x:row>
    <x:row r="51">
      <x:c r="A51" t="str">
        <x:v>ORD-1047</x:v>
      </x:c>
      <x:c r="B51" t="str">
        <x:v>Alina Fedorova</x:v>
      </x:c>
      <x:c r="C51" t="str">
        <x:v>alina.fedorova47@gmail.com</x:v>
      </x:c>
      <x:c r="D51" t="str">
        <x:v>+3725950549</x:v>
      </x:c>
      <x:c r="E51" t="str">
        <x:v>Tallinn</x:v>
      </x:c>
      <x:c r="F51" s="38" t="n">
        <x:v>46105</x:v>
      </x:c>
      <x:c r="G51" t="str">
        <x:v>Wireless Mouse</x:v>
      </x:c>
      <x:c r="H51" t="str">
        <x:v>Electronics</x:v>
      </x:c>
      <x:c r="I51" s="40" t="n">
        <x:v>91.8</x:v>
      </x:c>
      <x:c r="J51" t="str">
        <x:v>CANCELLED</x:v>
      </x:c>
      <x:c r="K51" t="str">
        <x:v>Unique</x:v>
      </x:c>
      <x:c r="L51" t="str">
        <x:v>OK</x:v>
      </x:c>
    </x:row>
    <x:row r="52">
      <x:c r="A52" t="str">
        <x:v>ORD-1048</x:v>
      </x:c>
      <x:c r="B52" t="str">
        <x:v>Sofia Morozova</x:v>
      </x:c>
      <x:c r="C52" t="str">
        <x:v>sofia.morozova48@gmail.com</x:v>
      </x:c>
      <x:c r="D52" t="str">
        <x:v>+3725273983</x:v>
      </x:c>
      <x:c r="E52" t="str">
        <x:v>Warsaw</x:v>
      </x:c>
      <x:c r="F52" s="38" t="n">
        <x:v>46106</x:v>
      </x:c>
      <x:c r="G52" t="str">
        <x:v>Notebook A5</x:v>
      </x:c>
      <x:c r="H52" t="str">
        <x:v>Office</x:v>
      </x:c>
      <x:c r="I52" s="40" t="n">
        <x:v>14.21</x:v>
      </x:c>
      <x:c r="J52" t="str">
        <x:v>PAID</x:v>
      </x:c>
      <x:c r="K52" t="str">
        <x:v>Unique</x:v>
      </x:c>
      <x:c r="L52" t="str">
        <x:v>OK</x:v>
      </x:c>
    </x:row>
    <x:row r="53">
      <x:c r="A53" t="str">
        <x:v>ORD-1049</x:v>
      </x:c>
      <x:c r="B53" t="str">
        <x:v>Kate Brown</x:v>
      </x:c>
      <x:c r="C53" t="str">
        <x:v>kate.brown49@mail.com</x:v>
      </x:c>
      <x:c r="D53" t="str">
        <x:v>+3725200056</x:v>
      </x:c>
      <x:c r="E53" t="str">
        <x:v>Warsaw</x:v>
      </x:c>
      <x:c r="F53" s="38" t="n">
        <x:v>46107</x:v>
      </x:c>
      <x:c r="G53" t="str">
        <x:v>Premium Tea</x:v>
      </x:c>
      <x:c r="H53" t="str">
        <x:v>Food</x:v>
      </x:c>
      <x:c r="I53" s="40" t="n">
        <x:v>43.75</x:v>
      </x:c>
      <x:c r="J53" t="str">
        <x:v>PAID</x:v>
      </x:c>
      <x:c r="K53" t="str">
        <x:v>Unique</x:v>
      </x:c>
      <x:c r="L53" t="str">
        <x:v>OK</x:v>
      </x:c>
    </x:row>
    <x:row r="54">
      <x:c r="A54" t="str">
        <x:v>ORD-1050</x:v>
      </x:c>
      <x:c r="B54" t="str">
        <x:v>Nina Volkova</x:v>
      </x:c>
      <x:c r="C54" t="str">
        <x:v>nina.volkova50@mail.com</x:v>
      </x:c>
      <x:c r="D54" t="str">
        <x:v>+3725973218</x:v>
      </x:c>
      <x:c r="E54" t="str">
        <x:v>Warsaw</x:v>
      </x:c>
      <x:c r="F54" s="38" t="n">
        <x:v>46107</x:v>
      </x:c>
      <x:c r="G54" t="str">
        <x:v>Wireless Mouse</x:v>
      </x:c>
      <x:c r="H54" t="str">
        <x:v>Electronics</x:v>
      </x:c>
      <x:c r="I54" s="40" t="n">
        <x:v>24.83</x:v>
      </x:c>
      <x:c r="J54" t="str">
        <x:v>PAID</x:v>
      </x:c>
      <x:c r="K54" t="str">
        <x:v>Unique</x:v>
      </x:c>
      <x:c r="L54" t="str">
        <x:v>OK</x:v>
      </x:c>
    </x:row>
    <x:row r="55">
      <x:c r="A55" t="str">
        <x:v>ORD-1051</x:v>
      </x:c>
      <x:c r="B55" t="str">
        <x:v>Elena Smirnova</x:v>
      </x:c>
      <x:c r="C55" t="str">
        <x:v>elena.smirnova51@example.com</x:v>
      </x:c>
      <x:c r="D55" t="str">
        <x:v>+3725446968</x:v>
      </x:c>
      <x:c r="E55" t="str">
        <x:v>Riga</x:v>
      </x:c>
      <x:c r="F55" s="38" t="n">
        <x:v>46131</x:v>
      </x:c>
      <x:c r="G55" t="str">
        <x:v>Water Bottle</x:v>
      </x:c>
      <x:c r="H55" t="str">
        <x:v>Sports</x:v>
      </x:c>
      <x:c r="I55" s="40" t="n">
        <x:v>18.59</x:v>
      </x:c>
      <x:c r="J55" t="str">
        <x:v>REFUNDED</x:v>
      </x:c>
      <x:c r="K55" t="str">
        <x:v>Unique</x:v>
      </x:c>
      <x:c r="L55" t="str">
        <x:v>OK</x:v>
      </x:c>
    </x:row>
    <x:row r="56">
      <x:c r="A56" t="str">
        <x:v>ORD-1052</x:v>
      </x:c>
      <x:c r="B56" t="str">
        <x:v>Sofia Morozova</x:v>
      </x:c>
      <x:c r="C56" t="str">
        <x:v>sofia.morozova52@example.com</x:v>
      </x:c>
      <x:c r="D56" t="str">
        <x:v>+3725152890</x:v>
      </x:c>
      <x:c r="E56" t="str">
        <x:v>Riga</x:v>
      </x:c>
      <x:c r="F56" s="38" t="n">
        <x:v>46099</x:v>
      </x:c>
      <x:c r="G56" t="str">
        <x:v>Water Bottle</x:v>
      </x:c>
      <x:c r="H56" t="str">
        <x:v>Sports</x:v>
      </x:c>
      <x:c r="I56" s="40" t="n">
        <x:v>18.25</x:v>
      </x:c>
      <x:c r="J56" t="str">
        <x:v>CANCELLED</x:v>
      </x:c>
      <x:c r="K56" t="str">
        <x:v>Unique</x:v>
      </x:c>
      <x:c r="L56" t="str">
        <x:v>OK</x:v>
      </x:c>
    </x:row>
    <x:row r="57">
      <x:c r="A57" t="str">
        <x:v>ORD-1053</x:v>
      </x:c>
      <x:c r="B57" t="str">
        <x:v>Anna Ivanova</x:v>
      </x:c>
      <x:c r="C57" t="str">
        <x:v>anna.ivanova53@gmail.com</x:v>
      </x:c>
      <x:c r="D57" t="str">
        <x:v>+3725712405</x:v>
      </x:c>
      <x:c r="E57" t="str">
        <x:v>Vilnius</x:v>
      </x:c>
      <x:c r="F57" s="38" t="n">
        <x:v>46069</x:v>
      </x:c>
      <x:c r="G57" t="str">
        <x:v>Coffee Beans</x:v>
      </x:c>
      <x:c r="H57" t="str">
        <x:v>Food</x:v>
      </x:c>
      <x:c r="I57" s="40" t="n">
        <x:v>76.1</x:v>
      </x:c>
      <x:c r="J57" t="str">
        <x:v>REFUNDED</x:v>
      </x:c>
      <x:c r="K57" t="str">
        <x:v>Unique</x:v>
      </x:c>
      <x:c r="L57" t="str">
        <x:v>OK</x:v>
      </x:c>
    </x:row>
    <x:row r="58">
      <x:c r="A58" t="str">
        <x:v>ORD-1054</x:v>
      </x:c>
      <x:c r="B58" t="str">
        <x:v>Daria Kuznetsova</x:v>
      </x:c>
      <x:c r="C58" t="str">
        <x:v>daria.kuznetsova54@example.com</x:v>
      </x:c>
      <x:c r="D58" t="str">
        <x:v>+3725373409</x:v>
      </x:c>
      <x:c r="E58" t="str">
        <x:v>Riga</x:v>
      </x:c>
      <x:c r="F58" s="38" t="n">
        <x:v>46117</x:v>
      </x:c>
      <x:c r="G58" t="str">
        <x:v>Wireless Mouse</x:v>
      </x:c>
      <x:c r="H58" t="str">
        <x:v>Electronics</x:v>
      </x:c>
      <x:c r="I58" s="40" t="n">
        <x:v>76.85</x:v>
      </x:c>
      <x:c r="J58" t="str">
        <x:v>CANCELLED</x:v>
      </x:c>
      <x:c r="K58" t="str">
        <x:v>Unique</x:v>
      </x:c>
      <x:c r="L58" t="str">
        <x:v>OK</x:v>
      </x:c>
    </x:row>
    <x:row r="59">
      <x:c r="A59" t="str">
        <x:v>ORD-1055</x:v>
      </x:c>
      <x:c r="B59" t="str">
        <x:v>Alina Fedorova</x:v>
      </x:c>
      <x:c r="C59" t="str">
        <x:v>alina.fedorova55@gmail.com</x:v>
      </x:c>
      <x:c r="D59" t="str">
        <x:v>+3725844087</x:v>
      </x:c>
      <x:c r="E59" t="str">
        <x:v>Tallinn</x:v>
      </x:c>
      <x:c r="F59" s="38" t="n">
        <x:v>46131</x:v>
      </x:c>
      <x:c r="G59" t="str">
        <x:v>Desk Lamp</x:v>
      </x:c>
      <x:c r="H59" t="str">
        <x:v>Home</x:v>
      </x:c>
      <x:c r="I59" s="40" t="n">
        <x:v>35.25</x:v>
      </x:c>
      <x:c r="J59" t="str">
        <x:v>CANCELLED</x:v>
      </x:c>
      <x:c r="K59" t="str">
        <x:v>Unique</x:v>
      </x:c>
      <x:c r="L59" t="str">
        <x:v>OK</x:v>
      </x:c>
    </x:row>
    <x:row r="60">
      <x:c r="A60" t="str">
        <x:v>ORD-1056</x:v>
      </x:c>
      <x:c r="B60" t="str">
        <x:v>Alina Fedorova</x:v>
      </x:c>
      <x:c r="C60" t="str">
        <x:v>alina.fedorova56@mail.com</x:v>
      </x:c>
      <x:c r="D60" t="str">
        <x:v>+3725441723</x:v>
      </x:c>
      <x:c r="E60" t="str">
        <x:v>Vilnius</x:v>
      </x:c>
      <x:c r="F60" s="38" t="n">
        <x:v>46108</x:v>
      </x:c>
      <x:c r="G60" t="str">
        <x:v>Premium Tea</x:v>
      </x:c>
      <x:c r="H60" t="str">
        <x:v>Food</x:v>
      </x:c>
      <x:c r="I60" s="40" t="n">
        <x:v>48.34</x:v>
      </x:c>
      <x:c r="J60" t="str">
        <x:v>REFUNDED</x:v>
      </x:c>
      <x:c r="K60" t="str">
        <x:v>Unique</x:v>
      </x:c>
      <x:c r="L60" t="str">
        <x:v>OK</x:v>
      </x:c>
    </x:row>
    <x:row r="61">
      <x:c r="A61" t="str">
        <x:v>ORD-1057</x:v>
      </x:c>
      <x:c r="B61" t="str">
        <x:v>Alina Fedorova</x:v>
      </x:c>
      <x:c r="C61" t="str">
        <x:v>alina.fedorova57@example.com</x:v>
      </x:c>
      <x:c r="D61" t="str">
        <x:v>+3725176935</x:v>
      </x:c>
      <x:c r="E61" t="str">
        <x:v>Vilnius</x:v>
      </x:c>
      <x:c r="F61" s="38" t="n">
        <x:v>46027</x:v>
      </x:c>
      <x:c r="G61" t="str">
        <x:v>Premium Tea</x:v>
      </x:c>
      <x:c r="H61" t="str">
        <x:v>Food</x:v>
      </x:c>
      <x:c r="I61" s="40" t="n">
        <x:v>56.07</x:v>
      </x:c>
      <x:c r="J61" t="str">
        <x:v>CANCELLED</x:v>
      </x:c>
      <x:c r="K61" t="str">
        <x:v>Unique</x:v>
      </x:c>
      <x:c r="L61" t="str">
        <x:v>OK</x:v>
      </x:c>
    </x:row>
    <x:row r="62">
      <x:c r="A62" t="str">
        <x:v>ORD-1058</x:v>
      </x:c>
      <x:c r="B62" t="str">
        <x:v>Elena Smirnova</x:v>
      </x:c>
      <x:c r="C62" t="str">
        <x:v>elena.smirnova58@example.com</x:v>
      </x:c>
      <x:c r="D62" t="str">
        <x:v>+3725267777</x:v>
      </x:c>
      <x:c r="E62" t="str">
        <x:v>Tallinn</x:v>
      </x:c>
      <x:c r="F62" s="38" t="n">
        <x:v>46103</x:v>
      </x:c>
      <x:c r="G62" t="str">
        <x:v>Notebook A5</x:v>
      </x:c>
      <x:c r="H62" t="str">
        <x:v>Office</x:v>
      </x:c>
      <x:c r="I62" s="40" t="n">
        <x:v>10.18</x:v>
      </x:c>
      <x:c r="J62" t="str">
        <x:v>CANCELLED</x:v>
      </x:c>
      <x:c r="K62" t="str">
        <x:v>Unique</x:v>
      </x:c>
      <x:c r="L62" t="str">
        <x:v>OK</x:v>
      </x:c>
    </x:row>
    <x:row r="63">
      <x:c r="A63" t="str">
        <x:v>ORD-1059</x:v>
      </x:c>
      <x:c r="B63" t="str">
        <x:v>Alina Fedorova</x:v>
      </x:c>
      <x:c r="C63" t="str">
        <x:v>alina.fedorova59@gmail.com</x:v>
      </x:c>
      <x:c r="D63" t="str">
        <x:v>+3725439909</x:v>
      </x:c>
      <x:c r="E63" t="str">
        <x:v>Tartu</x:v>
      </x:c>
      <x:c r="F63" s="38" t="n">
        <x:v>46165</x:v>
      </x:c>
      <x:c r="G63" t="str">
        <x:v>Coffee Beans</x:v>
      </x:c>
      <x:c r="H63" t="str">
        <x:v>Food</x:v>
      </x:c>
      <x:c r="I63" s="40" t="n">
        <x:v>53.41</x:v>
      </x:c>
      <x:c r="J63" t="str">
        <x:v>CANCELLED</x:v>
      </x:c>
      <x:c r="K63" t="str">
        <x:v>Unique</x:v>
      </x:c>
      <x:c r="L63" t="str">
        <x:v>OK</x:v>
      </x:c>
    </x:row>
    <x:row r="64">
      <x:c r="A64" t="str">
        <x:v>ORD-1060</x:v>
      </x:c>
      <x:c r="B64" t="str">
        <x:v>Olga Sokolova</x:v>
      </x:c>
      <x:c r="C64" t="str">
        <x:v>olga.sokolova60@mail.com</x:v>
      </x:c>
      <x:c r="D64" t="str">
        <x:v>+3725235708</x:v>
      </x:c>
      <x:c r="E64" t="str">
        <x:v>Helsinki</x:v>
      </x:c>
      <x:c r="F64" s="38" t="n">
        <x:v>46165</x:v>
      </x:c>
      <x:c r="G64" t="str">
        <x:v>Premium Tea</x:v>
      </x:c>
      <x:c r="H64" t="str">
        <x:v>Food</x:v>
      </x:c>
      <x:c r="I64" s="40" t="n">
        <x:v>12.59</x:v>
      </x:c>
      <x:c r="J64" t="str">
        <x:v>PAID</x:v>
      </x:c>
      <x:c r="K64" t="str">
        <x:v>Unique</x:v>
      </x:c>
      <x:c r="L64" t="str">
        <x:v>OK</x:v>
      </x:c>
    </x:row>
    <x:row r="65">
      <x:c r="A65" t="str">
        <x:v>ORD-1061</x:v>
      </x:c>
      <x:c r="B65" t="str">
        <x:v>Alina Fedorova</x:v>
      </x:c>
      <x:c r="C65" t="str">
        <x:v>alina.fedorova61@mail.com</x:v>
      </x:c>
      <x:c r="D65" t="str">
        <x:v>+3725446475</x:v>
      </x:c>
      <x:c r="E65" t="str">
        <x:v>Helsinki</x:v>
      </x:c>
      <x:c r="F65" s="38" t="n">
        <x:v>46056</x:v>
      </x:c>
      <x:c r="G65" t="str">
        <x:v>Water Bottle</x:v>
      </x:c>
      <x:c r="H65" t="str">
        <x:v>Sports</x:v>
      </x:c>
      <x:c r="I65" s="40" t="n">
        <x:v>100.68</x:v>
      </x:c>
      <x:c r="J65" t="str">
        <x:v>CANCELLED</x:v>
      </x:c>
      <x:c r="K65" t="str">
        <x:v>Unique</x:v>
      </x:c>
      <x:c r="L65" t="str">
        <x:v>OK</x:v>
      </x:c>
    </x:row>
    <x:row r="66">
      <x:c r="A66" t="str">
        <x:v>ORD-1062</x:v>
      </x:c>
      <x:c r="B66" t="str">
        <x:v>Anna Ivanova</x:v>
      </x:c>
      <x:c r="C66" t="str">
        <x:v>anna.ivanova62@gmail.com</x:v>
      </x:c>
      <x:c r="D66" t="str">
        <x:v>+3725189922</x:v>
      </x:c>
      <x:c r="E66" t="str">
        <x:v>Helsinki</x:v>
      </x:c>
      <x:c r="F66" s="38" t="n">
        <x:v>46157</x:v>
      </x:c>
      <x:c r="G66" t="str">
        <x:v>Desk Lamp</x:v>
      </x:c>
      <x:c r="H66" t="str">
        <x:v>Home</x:v>
      </x:c>
      <x:c r="I66" s="40" t="n">
        <x:v>62.81</x:v>
      </x:c>
      <x:c r="J66" t="str">
        <x:v>CANCELLED</x:v>
      </x:c>
      <x:c r="K66" t="str">
        <x:v>Unique</x:v>
      </x:c>
      <x:c r="L66" t="str">
        <x:v>OK</x:v>
      </x:c>
    </x:row>
    <x:row r="67">
      <x:c r="A67" t="str">
        <x:v>ORD-1063</x:v>
      </x:c>
      <x:c r="B67" t="str">
        <x:v>Irina Popova</x:v>
      </x:c>
      <x:c r="C67" t="str">
        <x:v>irina.popova63@gmail.com</x:v>
      </x:c>
      <x:c r="D67" t="str">
        <x:v>+3725335866</x:v>
      </x:c>
      <x:c r="E67" t="str">
        <x:v>Tallinn</x:v>
      </x:c>
      <x:c r="F67" s="38" t="n">
        <x:v>46078</x:v>
      </x:c>
      <x:c r="G67" t="str">
        <x:v>Wireless Mouse</x:v>
      </x:c>
      <x:c r="H67" t="str">
        <x:v>Electronics</x:v>
      </x:c>
      <x:c r="I67" s="40" t="n">
        <x:v>51.29</x:v>
      </x:c>
      <x:c r="J67" t="str">
        <x:v>PENDING</x:v>
      </x:c>
      <x:c r="K67" t="str">
        <x:v>Unique</x:v>
      </x:c>
      <x:c r="L67" t="str">
        <x:v>OK</x:v>
      </x:c>
    </x:row>
    <x:row r="68">
      <x:c r="A68" t="str">
        <x:v>ORD-1064</x:v>
      </x:c>
      <x:c r="B68" t="str">
        <x:v>Elena Smirnova</x:v>
      </x:c>
      <x:c r="C68" t="str">
        <x:v>elena.smirnova64@mail.com</x:v>
      </x:c>
      <x:c r="D68" t="str">
        <x:v>+3725986159</x:v>
      </x:c>
      <x:c r="E68" t="str">
        <x:v>Warsaw</x:v>
      </x:c>
      <x:c r="F68" s="38" t="n">
        <x:v>46052</x:v>
      </x:c>
      <x:c r="G68" t="str">
        <x:v>Yoga Mat</x:v>
      </x:c>
      <x:c r="H68" t="str">
        <x:v>Sports</x:v>
      </x:c>
      <x:c r="I68" s="40" t="n">
        <x:v>29.3</x:v>
      </x:c>
      <x:c r="J68" t="str">
        <x:v>REFUNDED</x:v>
      </x:c>
      <x:c r="K68" t="str">
        <x:v>Unique</x:v>
      </x:c>
      <x:c r="L68" t="str">
        <x:v>OK</x:v>
      </x:c>
    </x:row>
    <x:row r="69">
      <x:c r="A69" t="str">
        <x:v>ORD-1065</x:v>
      </x:c>
      <x:c r="B69" t="str">
        <x:v>Maria Petrova</x:v>
      </x:c>
      <x:c r="C69" t="str">
        <x:v>maria.petrova65@example.com</x:v>
      </x:c>
      <x:c r="D69" t="str">
        <x:v>+3725849241</x:v>
      </x:c>
      <x:c r="E69" t="str">
        <x:v>Tartu</x:v>
      </x:c>
      <x:c r="F69" s="38" t="n">
        <x:v>46142</x:v>
      </x:c>
      <x:c r="G69" t="str">
        <x:v>Yoga Mat</x:v>
      </x:c>
      <x:c r="H69" t="str">
        <x:v>Sports</x:v>
      </x:c>
      <x:c r="I69" s="40" t="n">
        <x:v>81.74</x:v>
      </x:c>
      <x:c r="J69" t="str">
        <x:v>PAID</x:v>
      </x:c>
      <x:c r="K69" t="str">
        <x:v>Unique</x:v>
      </x:c>
      <x:c r="L69" t="str">
        <x:v>OK</x:v>
      </x:c>
    </x:row>
    <x:row r="70">
      <x:c r="A70" t="str">
        <x:v>ORD-1066</x:v>
      </x:c>
      <x:c r="B70" t="str">
        <x:v>Sofia Morozova</x:v>
      </x:c>
      <x:c r="C70" t="str">
        <x:v>sofia.morozova66@gmail.com</x:v>
      </x:c>
      <x:c r="D70" t="str">
        <x:v>+3725142782</x:v>
      </x:c>
      <x:c r="E70" t="str">
        <x:v>Riga</x:v>
      </x:c>
      <x:c r="F70" s="38" t="n">
        <x:v>46165</x:v>
      </x:c>
      <x:c r="G70" t="str">
        <x:v>Wireless Mouse</x:v>
      </x:c>
      <x:c r="H70" t="str">
        <x:v>Electronics</x:v>
      </x:c>
      <x:c r="I70" s="40" t="n">
        <x:v>84.88</x:v>
      </x:c>
      <x:c r="J70" t="str">
        <x:v>REFUNDED</x:v>
      </x:c>
      <x:c r="K70" t="str">
        <x:v>Unique</x:v>
      </x:c>
      <x:c r="L70" t="str">
        <x:v>OK</x:v>
      </x:c>
    </x:row>
    <x:row r="71">
      <x:c r="A71" t="str">
        <x:v>ORD-1067</x:v>
      </x:c>
      <x:c r="B71" t="str">
        <x:v>Nina Volkova</x:v>
      </x:c>
      <x:c r="C71" t="str">
        <x:v>nina.volkova67@mail.com</x:v>
      </x:c>
      <x:c r="D71" t="str">
        <x:v>+3725989257</x:v>
      </x:c>
      <x:c r="E71" t="str">
        <x:v>Tallinn</x:v>
      </x:c>
      <x:c r="F71" s="38" t="n">
        <x:v>46058</x:v>
      </x:c>
      <x:c r="G71" t="str">
        <x:v>Premium Tea</x:v>
      </x:c>
      <x:c r="H71" t="str">
        <x:v>Food</x:v>
      </x:c>
      <x:c r="I71" s="40" t="n">
        <x:v>21.45</x:v>
      </x:c>
      <x:c r="J71" t="str">
        <x:v>PAID</x:v>
      </x:c>
      <x:c r="K71" t="str">
        <x:v>Unique</x:v>
      </x:c>
      <x:c r="L71" t="str">
        <x:v>OK</x:v>
      </x:c>
    </x:row>
    <x:row r="72">
      <x:c r="A72" t="str">
        <x:v>ORD-1068</x:v>
      </x:c>
      <x:c r="B72" t="str">
        <x:v>Nina Volkova</x:v>
      </x:c>
      <x:c r="C72" t="str">
        <x:v>nina.volkova68@example.com</x:v>
      </x:c>
      <x:c r="D72" t="str">
        <x:v>+3725661707</x:v>
      </x:c>
      <x:c r="E72" t="str">
        <x:v>Vilnius</x:v>
      </x:c>
      <x:c r="F72" s="38" t="n">
        <x:v>46165</x:v>
      </x:c>
      <x:c r="G72" t="str">
        <x:v>Water Bottle</x:v>
      </x:c>
      <x:c r="H72" t="str">
        <x:v>Sports</x:v>
      </x:c>
      <x:c r="I72" s="40" t="n">
        <x:v>19.74</x:v>
      </x:c>
      <x:c r="J72" t="str">
        <x:v>PENDING</x:v>
      </x:c>
      <x:c r="K72" t="str">
        <x:v>Unique</x:v>
      </x:c>
      <x:c r="L72" t="str">
        <x:v>OK</x:v>
      </x:c>
    </x:row>
    <x:row r="73">
      <x:c r="A73" t="str">
        <x:v>ORD-1069</x:v>
      </x:c>
      <x:c r="B73" t="str">
        <x:v>Anna Ivanova</x:v>
      </x:c>
      <x:c r="C73" t="str">
        <x:v>anna.ivanova69@example.com</x:v>
      </x:c>
      <x:c r="D73" t="str">
        <x:v>+3725996440</x:v>
      </x:c>
      <x:c r="E73" t="str">
        <x:v>Vilnius</x:v>
      </x:c>
      <x:c r="F73" s="38" t="n">
        <x:v>46103</x:v>
      </x:c>
      <x:c r="G73" t="str">
        <x:v>Premium Tea</x:v>
      </x:c>
      <x:c r="H73" t="str">
        <x:v>Food</x:v>
      </x:c>
      <x:c r="I73" s="40" t="n">
        <x:v>12.18</x:v>
      </x:c>
      <x:c r="J73" t="str">
        <x:v>REFUNDED</x:v>
      </x:c>
      <x:c r="K73" t="str">
        <x:v>Unique</x:v>
      </x:c>
      <x:c r="L73" t="str">
        <x:v>OK</x:v>
      </x:c>
    </x:row>
    <x:row r="74">
      <x:c r="A74" t="str">
        <x:v>ORD-1070</x:v>
      </x:c>
      <x:c r="B74" t="str">
        <x:v>Sofia Morozova</x:v>
      </x:c>
      <x:c r="C74" t="str">
        <x:v>sofia.morozova70@mail.com</x:v>
      </x:c>
      <x:c r="D74" t="str">
        <x:v>+3725557733</x:v>
      </x:c>
      <x:c r="E74" t="str">
        <x:v>Tartu</x:v>
      </x:c>
      <x:c r="F74" s="38" t="n">
        <x:v>46049</x:v>
      </x:c>
      <x:c r="G74" t="str">
        <x:v>Premium Tea</x:v>
      </x:c>
      <x:c r="H74" t="str">
        <x:v>Food</x:v>
      </x:c>
      <x:c r="I74" s="40" t="n">
        <x:v>60.33</x:v>
      </x:c>
      <x:c r="J74" t="str">
        <x:v>REFUNDED</x:v>
      </x:c>
      <x:c r="K74" t="str">
        <x:v>Unique</x:v>
      </x:c>
      <x:c r="L74" t="str">
        <x:v>OK</x:v>
      </x:c>
    </x:row>
    <x:row r="75">
      <x:c r="A75" t="str">
        <x:v>ORD-1071</x:v>
      </x:c>
      <x:c r="B75" t="str">
        <x:v>Irina Popova</x:v>
      </x:c>
      <x:c r="C75" t="str">
        <x:v>irina.popova71@mail.com</x:v>
      </x:c>
      <x:c r="D75" t="str">
        <x:v>+3725254868</x:v>
      </x:c>
      <x:c r="E75" t="str">
        <x:v>Vilnius</x:v>
      </x:c>
      <x:c r="F75" s="38" t="n">
        <x:v>46074</x:v>
      </x:c>
      <x:c r="G75" t="str">
        <x:v>Notebook A5</x:v>
      </x:c>
      <x:c r="H75" t="str">
        <x:v>Office</x:v>
      </x:c>
      <x:c r="I75" s="40" t="n">
        <x:v>19.79</x:v>
      </x:c>
      <x:c r="J75" t="str">
        <x:v>CANCELLED</x:v>
      </x:c>
      <x:c r="K75" t="str">
        <x:v>Unique</x:v>
      </x:c>
      <x:c r="L75" t="str">
        <x:v>OK</x:v>
      </x:c>
    </x:row>
    <x:row r="76">
      <x:c r="A76" t="str">
        <x:v>ORD-1072</x:v>
      </x:c>
      <x:c r="B76" t="str">
        <x:v>Alina Fedorova</x:v>
      </x:c>
      <x:c r="C76" t="str">
        <x:v>alina.fedorova72@gmail.com</x:v>
      </x:c>
      <x:c r="D76" t="str">
        <x:v>+3725670452</x:v>
      </x:c>
      <x:c r="E76" t="str">
        <x:v>Riga</x:v>
      </x:c>
      <x:c r="F76" s="38" t="n">
        <x:v>46038</x:v>
      </x:c>
      <x:c r="G76" t="str">
        <x:v>Water Bottle</x:v>
      </x:c>
      <x:c r="H76" t="str">
        <x:v>Sports</x:v>
      </x:c>
      <x:c r="I76" s="40" t="n">
        <x:v>52.95</x:v>
      </x:c>
      <x:c r="J76" t="str">
        <x:v>CANCELLED</x:v>
      </x:c>
      <x:c r="K76" t="str">
        <x:v>Unique</x:v>
      </x:c>
      <x:c r="L76" t="str">
        <x:v>OK</x:v>
      </x:c>
    </x:row>
    <x:row r="77">
      <x:c r="A77" t="str">
        <x:v>ORD-1073</x:v>
      </x:c>
      <x:c r="B77" t="str">
        <x:v>Sofia Morozova</x:v>
      </x:c>
      <x:c r="C77" t="str">
        <x:v>sofia.morozova73@mail.com</x:v>
      </x:c>
      <x:c r="D77" t="str">
        <x:v>+3725613567</x:v>
      </x:c>
      <x:c r="E77" t="str">
        <x:v>Vilnius</x:v>
      </x:c>
      <x:c r="F77" s="38" t="n">
        <x:v>46103</x:v>
      </x:c>
      <x:c r="G77" t="str">
        <x:v>Desk Lamp</x:v>
      </x:c>
      <x:c r="H77" t="str">
        <x:v>Home</x:v>
      </x:c>
      <x:c r="I77" s="40" t="n">
        <x:v>145.02</x:v>
      </x:c>
      <x:c r="J77" t="str">
        <x:v>PAID</x:v>
      </x:c>
      <x:c r="K77" t="str">
        <x:v>Unique</x:v>
      </x:c>
      <x:c r="L77" t="str">
        <x:v>OK</x:v>
      </x:c>
    </x:row>
    <x:row r="78">
      <x:c r="A78" t="str">
        <x:v>ORD-1074</x:v>
      </x:c>
      <x:c r="B78" t="str">
        <x:v>Olga Sokolova</x:v>
      </x:c>
      <x:c r="C78" t="str">
        <x:v>olga.sokolova74@mail.com</x:v>
      </x:c>
      <x:c r="D78" t="str">
        <x:v>+3725609554</x:v>
      </x:c>
      <x:c r="E78" t="str">
        <x:v>Warsaw</x:v>
      </x:c>
      <x:c r="F78" s="38" t="n">
        <x:v>46143</x:v>
      </x:c>
      <x:c r="G78" t="str">
        <x:v>Wireless Mouse</x:v>
      </x:c>
      <x:c r="H78" t="str">
        <x:v>Electronics</x:v>
      </x:c>
      <x:c r="I78" s="40" t="n">
        <x:v>55.08</x:v>
      </x:c>
      <x:c r="J78" t="str">
        <x:v>CANCELLED</x:v>
      </x:c>
      <x:c r="K78" t="str">
        <x:v>Unique</x:v>
      </x:c>
      <x:c r="L78" t="str">
        <x:v>OK</x:v>
      </x:c>
    </x:row>
    <x:row r="79">
      <x:c r="A79" t="str">
        <x:v>ORD-1075</x:v>
      </x:c>
      <x:c r="B79" t="str">
        <x:v>Anna Ivanova</x:v>
      </x:c>
      <x:c r="C79" t="str">
        <x:v>anna.ivanova75@mail.com</x:v>
      </x:c>
      <x:c r="D79" t="str">
        <x:v>+3725843115</x:v>
      </x:c>
      <x:c r="E79" t="str">
        <x:v>Vilnius</x:v>
      </x:c>
      <x:c r="F79" s="38" t="n">
        <x:v>46128</x:v>
      </x:c>
      <x:c r="G79" t="str">
        <x:v>Yoga Mat</x:v>
      </x:c>
      <x:c r="H79" t="str">
        <x:v>Sports</x:v>
      </x:c>
      <x:c r="I79" s="40" t="n">
        <x:v>31.92</x:v>
      </x:c>
      <x:c r="J79" t="str">
        <x:v>REFUNDED</x:v>
      </x:c>
      <x:c r="K79" t="str">
        <x:v>Unique</x:v>
      </x:c>
      <x:c r="L79" t="str">
        <x:v>OK</x:v>
      </x:c>
    </x:row>
    <x:row r="80">
      <x:c r="A80" t="str">
        <x:v>ORD-1076</x:v>
      </x:c>
      <x:c r="B80" t="str">
        <x:v>Nina Volkova</x:v>
      </x:c>
      <x:c r="C80" t="str">
        <x:v>nina.volkova76@gmail.com</x:v>
      </x:c>
      <x:c r="D80" t="str">
        <x:v>+3725260677</x:v>
      </x:c>
      <x:c r="E80" t="str">
        <x:v>Riga</x:v>
      </x:c>
      <x:c r="F80" s="38" t="n">
        <x:v>46069</x:v>
      </x:c>
      <x:c r="G80" t="str">
        <x:v>Desk Lamp</x:v>
      </x:c>
      <x:c r="H80" t="str">
        <x:v>Home</x:v>
      </x:c>
      <x:c r="I80" s="40" t="n">
        <x:v>92.92</x:v>
      </x:c>
      <x:c r="J80" t="str">
        <x:v>CANCELLED</x:v>
      </x:c>
      <x:c r="K80" t="str">
        <x:v>Unique</x:v>
      </x:c>
      <x:c r="L80" t="str">
        <x:v>OK</x:v>
      </x:c>
    </x:row>
    <x:row r="81">
      <x:c r="A81" t="str">
        <x:v>ORD-1077</x:v>
      </x:c>
      <x:c r="B81" t="str">
        <x:v>Kate Brown</x:v>
      </x:c>
      <x:c r="C81" t="str">
        <x:v>kate.brown77@gmail.com</x:v>
      </x:c>
      <x:c r="D81" t="str">
        <x:v>+3725708689</x:v>
      </x:c>
      <x:c r="E81" t="str">
        <x:v>Vilnius</x:v>
      </x:c>
      <x:c r="F81" s="38" t="n">
        <x:v>46038</x:v>
      </x:c>
      <x:c r="G81" t="str">
        <x:v>Yoga Mat</x:v>
      </x:c>
      <x:c r="H81" t="str">
        <x:v>Sports</x:v>
      </x:c>
      <x:c r="I81" s="40" t="n">
        <x:v>60.2</x:v>
      </x:c>
      <x:c r="J81" t="str">
        <x:v>CANCELLED</x:v>
      </x:c>
      <x:c r="K81" t="str">
        <x:v>Unique</x:v>
      </x:c>
      <x:c r="L81" t="str">
        <x:v>OK</x:v>
      </x:c>
    </x:row>
    <x:row r="82">
      <x:c r="A82" t="str">
        <x:v>ORD-1078</x:v>
      </x:c>
      <x:c r="B82" t="str">
        <x:v>Sofia Morozova</x:v>
      </x:c>
      <x:c r="C82" t="str">
        <x:v>sofia.morozova78@example.com</x:v>
      </x:c>
      <x:c r="D82" t="str">
        <x:v>+3725747002</x:v>
      </x:c>
      <x:c r="E82" t="str">
        <x:v>Riga</x:v>
      </x:c>
      <x:c r="F82" s="38" t="n">
        <x:v>46050</x:v>
      </x:c>
      <x:c r="G82" t="str">
        <x:v>Desk Lamp</x:v>
      </x:c>
      <x:c r="H82" t="str">
        <x:v>Home</x:v>
      </x:c>
      <x:c r="I82" s="40" t="n">
        <x:v>64.42</x:v>
      </x:c>
      <x:c r="J82" t="str">
        <x:v>PAID</x:v>
      </x:c>
      <x:c r="K82" t="str">
        <x:v>Unique</x:v>
      </x:c>
      <x:c r="L82" t="str">
        <x:v>OK</x:v>
      </x:c>
    </x:row>
    <x:row r="83">
      <x:c r="A83" t="str">
        <x:v>ORD-1079</x:v>
      </x:c>
      <x:c r="B83" t="str">
        <x:v>Alina Fedorova</x:v>
      </x:c>
      <x:c r="C83" t="str">
        <x:v>alina.fedorova79@example.com</x:v>
      </x:c>
      <x:c r="D83" t="str">
        <x:v>+3725534118</x:v>
      </x:c>
      <x:c r="E83" t="str">
        <x:v>Tartu</x:v>
      </x:c>
      <x:c r="F83" s="38" t="n">
        <x:v>46154</x:v>
      </x:c>
      <x:c r="G83" t="str">
        <x:v>Water Bottle</x:v>
      </x:c>
      <x:c r="H83" t="str">
        <x:v>Sports</x:v>
      </x:c>
      <x:c r="I83" s="40" t="n">
        <x:v>84.87</x:v>
      </x:c>
      <x:c r="J83" t="str">
        <x:v>PENDING</x:v>
      </x:c>
      <x:c r="K83" t="str">
        <x:v>Unique</x:v>
      </x:c>
      <x:c r="L83" t="str">
        <x:v>OK</x:v>
      </x:c>
    </x:row>
    <x:row r="84">
      <x:c r="A84" t="str">
        <x:v>ORD-1080</x:v>
      </x:c>
      <x:c r="B84" t="str">
        <x:v>Elena Smirnova</x:v>
      </x:c>
      <x:c r="C84" t="str">
        <x:v>elena.smirnova80@mail.com</x:v>
      </x:c>
      <x:c r="D84" t="str">
        <x:v>+3725467305</x:v>
      </x:c>
      <x:c r="E84" t="str">
        <x:v>Riga</x:v>
      </x:c>
      <x:c r="F84" s="38" t="n">
        <x:v>46054</x:v>
      </x:c>
      <x:c r="G84" t="str">
        <x:v>Water Bottle</x:v>
      </x:c>
      <x:c r="H84" t="str">
        <x:v>Sports</x:v>
      </x:c>
      <x:c r="I84" s="40" t="n">
        <x:v>18.81</x:v>
      </x:c>
      <x:c r="J84" t="str">
        <x:v>PAID</x:v>
      </x:c>
      <x:c r="K84" t="str">
        <x:v>Unique</x:v>
      </x:c>
      <x:c r="L84" t="str">
        <x:v>OK</x:v>
      </x:c>
    </x:row>
    <x:row r="85">
      <x:c r="A85" t="str">
        <x:v>ORD-1081</x:v>
      </x:c>
      <x:c r="B85" t="str">
        <x:v>Daria Kuznetsova</x:v>
      </x:c>
      <x:c r="C85" t="str">
        <x:v>daria.kuznetsova81@example.com</x:v>
      </x:c>
      <x:c r="D85" t="str">
        <x:v>+3725742874</x:v>
      </x:c>
      <x:c r="E85" t="str">
        <x:v>Tallinn</x:v>
      </x:c>
      <x:c r="F85" s="38" t="n">
        <x:v>46096</x:v>
      </x:c>
      <x:c r="G85" t="str">
        <x:v>Desk Lamp</x:v>
      </x:c>
      <x:c r="H85" t="str">
        <x:v>Home</x:v>
      </x:c>
      <x:c r="I85" s="40" t="n">
        <x:v>58.16</x:v>
      </x:c>
      <x:c r="J85" t="str">
        <x:v>CANCELLED</x:v>
      </x:c>
      <x:c r="K85" t="str">
        <x:v>Unique</x:v>
      </x:c>
      <x:c r="L85" t="str">
        <x:v>OK</x:v>
      </x:c>
    </x:row>
    <x:row r="86">
      <x:c r="A86" t="str">
        <x:v>ORD-1082</x:v>
      </x:c>
      <x:c r="B86" t="str">
        <x:v>Anna Ivanova</x:v>
      </x:c>
      <x:c r="C86" t="str">
        <x:v>anna.ivanova82@mail.com</x:v>
      </x:c>
      <x:c r="D86" t="str">
        <x:v>+3725754492</x:v>
      </x:c>
      <x:c r="E86" t="str">
        <x:v>Warsaw</x:v>
      </x:c>
      <x:c r="F86" s="38" t="n">
        <x:v>46124</x:v>
      </x:c>
      <x:c r="G86" t="str">
        <x:v>Premium Tea</x:v>
      </x:c>
      <x:c r="H86" t="str">
        <x:v>Food</x:v>
      </x:c>
      <x:c r="I86" s="40" t="n">
        <x:v>56.17</x:v>
      </x:c>
      <x:c r="J86" t="str">
        <x:v>PENDING</x:v>
      </x:c>
      <x:c r="K86" t="str">
        <x:v>Unique</x:v>
      </x:c>
      <x:c r="L86" t="str">
        <x:v>OK</x:v>
      </x:c>
    </x:row>
    <x:row r="87">
      <x:c r="A87" t="str">
        <x:v>ORD-1083</x:v>
      </x:c>
      <x:c r="B87" t="str">
        <x:v>Olga Sokolova</x:v>
      </x:c>
      <x:c r="C87" t="str">
        <x:v>olga.sokolova83@gmail.com</x:v>
      </x:c>
      <x:c r="D87" t="str">
        <x:v>+3725202128</x:v>
      </x:c>
      <x:c r="E87" t="str">
        <x:v>Tartu</x:v>
      </x:c>
      <x:c r="F87" s="38" t="n">
        <x:v>46100</x:v>
      </x:c>
      <x:c r="G87" t="str">
        <x:v>Wireless Mouse</x:v>
      </x:c>
      <x:c r="H87" t="str">
        <x:v>Electronics</x:v>
      </x:c>
      <x:c r="I87" s="40" t="n">
        <x:v>28.39</x:v>
      </x:c>
      <x:c r="J87" t="str">
        <x:v>REFUNDED</x:v>
      </x:c>
      <x:c r="K87" t="str">
        <x:v>Unique</x:v>
      </x:c>
      <x:c r="L87" t="str">
        <x:v>OK</x:v>
      </x:c>
    </x:row>
    <x:row r="88">
      <x:c r="A88" t="str">
        <x:v>ORD-1084</x:v>
      </x:c>
      <x:c r="B88" t="str">
        <x:v>Daria Kuznetsova</x:v>
      </x:c>
      <x:c r="C88" t="str">
        <x:v>daria.kuznetsova84@mail.com</x:v>
      </x:c>
      <x:c r="D88" t="str">
        <x:v>+3725284996</x:v>
      </x:c>
      <x:c r="E88" t="str">
        <x:v>Warsaw</x:v>
      </x:c>
      <x:c r="F88" s="38" t="n">
        <x:v>46067</x:v>
      </x:c>
      <x:c r="G88" t="str">
        <x:v>Premium Tea</x:v>
      </x:c>
      <x:c r="H88" t="str">
        <x:v>Food</x:v>
      </x:c>
      <x:c r="I88" s="40" t="n">
        <x:v>44.4</x:v>
      </x:c>
      <x:c r="J88" t="str">
        <x:v>CANCELLED</x:v>
      </x:c>
      <x:c r="K88" t="str">
        <x:v>Unique</x:v>
      </x:c>
      <x:c r="L88" t="str">
        <x:v>OK</x:v>
      </x:c>
    </x:row>
    <x:row r="89">
      <x:c r="A89" t="str">
        <x:v>ORD-1085</x:v>
      </x:c>
      <x:c r="B89" t="str">
        <x:v>Daria Kuznetsova</x:v>
      </x:c>
      <x:c r="C89" t="str">
        <x:v>daria.kuznetsova85@gmail.com</x:v>
      </x:c>
      <x:c r="D89" t="str">
        <x:v>+3725257944</x:v>
      </x:c>
      <x:c r="E89" t="str">
        <x:v>Vilnius</x:v>
      </x:c>
      <x:c r="F89" s="38" t="n">
        <x:v>46126</x:v>
      </x:c>
      <x:c r="G89" t="str">
        <x:v>Desk Lamp</x:v>
      </x:c>
      <x:c r="H89" t="str">
        <x:v>Home</x:v>
      </x:c>
      <x:c r="I89" s="40" t="n">
        <x:v>65.89</x:v>
      </x:c>
      <x:c r="J89" t="str">
        <x:v>CANCELLED</x:v>
      </x:c>
      <x:c r="K89" t="str">
        <x:v>Unique</x:v>
      </x:c>
      <x:c r="L89" t="str">
        <x:v>OK</x:v>
      </x:c>
    </x:row>
    <x:row r="90">
      <x:c r="A90" t="str">
        <x:v>ORD-1086</x:v>
      </x:c>
      <x:c r="B90" t="str">
        <x:v>Maria Petrova</x:v>
      </x:c>
      <x:c r="C90" t="str">
        <x:v>maria.petrova86@gmail.com</x:v>
      </x:c>
      <x:c r="D90" t="str">
        <x:v>+3725310888</x:v>
      </x:c>
      <x:c r="E90" t="str">
        <x:v>Tallinn</x:v>
      </x:c>
      <x:c r="F90" s="38" t="n">
        <x:v>46101</x:v>
      </x:c>
      <x:c r="G90" t="str">
        <x:v>Water Bottle</x:v>
      </x:c>
      <x:c r="H90" t="str">
        <x:v>Sports</x:v>
      </x:c>
      <x:c r="I90" s="40" t="n">
        <x:v>36.96</x:v>
      </x:c>
      <x:c r="J90" t="str">
        <x:v>PAID</x:v>
      </x:c>
      <x:c r="K90" t="str">
        <x:v>Unique</x:v>
      </x:c>
      <x:c r="L90" t="str">
        <x:v>OK</x:v>
      </x:c>
    </x:row>
    <x:row r="91">
      <x:c r="A91" t="str">
        <x:v>ORD-1087</x:v>
      </x:c>
      <x:c r="B91" t="str">
        <x:v>Irina Popova</x:v>
      </x:c>
      <x:c r="C91" t="str">
        <x:v>irina.popova87@gmail.com</x:v>
      </x:c>
      <x:c r="D91" t="str">
        <x:v>+3725959247</x:v>
      </x:c>
      <x:c r="E91" t="str">
        <x:v>Tallinn</x:v>
      </x:c>
      <x:c r="F91" s="38" t="n">
        <x:v>46093</x:v>
      </x:c>
      <x:c r="G91" t="str">
        <x:v>Water Bottle</x:v>
      </x:c>
      <x:c r="H91" t="str">
        <x:v>Sports</x:v>
      </x:c>
      <x:c r="I91" s="40" t="n">
        <x:v>76.35</x:v>
      </x:c>
      <x:c r="J91" t="str">
        <x:v>PAID</x:v>
      </x:c>
      <x:c r="K91" t="str">
        <x:v>Unique</x:v>
      </x:c>
      <x:c r="L91" t="str">
        <x:v>OK</x:v>
      </x:c>
    </x:row>
    <x:row r="92">
      <x:c r="A92" t="str">
        <x:v>ORD-1088</x:v>
      </x:c>
      <x:c r="B92" t="str">
        <x:v>Anna Ivanova</x:v>
      </x:c>
      <x:c r="C92" t="str">
        <x:v>anna.ivanova88@example.com</x:v>
      </x:c>
      <x:c r="D92" t="str">
        <x:v>+3725190343</x:v>
      </x:c>
      <x:c r="E92" t="str">
        <x:v>Tartu</x:v>
      </x:c>
      <x:c r="F92" s="38" t="n">
        <x:v>46072</x:v>
      </x:c>
      <x:c r="G92" t="str">
        <x:v>Desk Lamp</x:v>
      </x:c>
      <x:c r="H92" t="str">
        <x:v>Home</x:v>
      </x:c>
      <x:c r="I92" s="40" t="n">
        <x:v>98.29</x:v>
      </x:c>
      <x:c r="J92" t="str">
        <x:v>PAID</x:v>
      </x:c>
      <x:c r="K92" t="str">
        <x:v>Unique</x:v>
      </x:c>
      <x:c r="L92" t="str">
        <x:v>OK</x:v>
      </x:c>
    </x:row>
    <x:row r="93">
      <x:c r="A93" t="str">
        <x:v>ORD-1089</x:v>
      </x:c>
      <x:c r="B93" t="str">
        <x:v>Olga Sokolova</x:v>
      </x:c>
      <x:c r="C93" t="str">
        <x:v>olga.sokolova89@mail.com</x:v>
      </x:c>
      <x:c r="D93" t="str">
        <x:v>+3725507502</x:v>
      </x:c>
      <x:c r="E93" t="str">
        <x:v>Helsinki</x:v>
      </x:c>
      <x:c r="F93" s="38" t="n">
        <x:v>46112</x:v>
      </x:c>
      <x:c r="G93" t="str">
        <x:v>Yoga Mat</x:v>
      </x:c>
      <x:c r="H93" t="str">
        <x:v>Sports</x:v>
      </x:c>
      <x:c r="I93" s="40" t="n">
        <x:v>54.27</x:v>
      </x:c>
      <x:c r="J93" t="str">
        <x:v>PAID</x:v>
      </x:c>
      <x:c r="K93" t="str">
        <x:v>Unique</x:v>
      </x:c>
      <x:c r="L93" t="str">
        <x:v>OK</x:v>
      </x:c>
    </x:row>
    <x:row r="94">
      <x:c r="A94" t="str">
        <x:v>ORD-1090</x:v>
      </x:c>
      <x:c r="B94" t="str">
        <x:v>Sofia Morozova</x:v>
      </x:c>
      <x:c r="C94" t="str">
        <x:v>sofia.morozova90@example.com</x:v>
      </x:c>
      <x:c r="D94" t="str">
        <x:v>+3725439132</x:v>
      </x:c>
      <x:c r="E94" t="str">
        <x:v>Vilnius</x:v>
      </x:c>
      <x:c r="F94" s="38" t="n">
        <x:v>46123</x:v>
      </x:c>
      <x:c r="G94" t="str">
        <x:v>Coffee Beans</x:v>
      </x:c>
      <x:c r="H94" t="str">
        <x:v>Food</x:v>
      </x:c>
      <x:c r="I94" s="40" t="n">
        <x:v>80.16</x:v>
      </x:c>
      <x:c r="J94" t="str">
        <x:v>REFUNDED</x:v>
      </x:c>
      <x:c r="K94" t="str">
        <x:v>Unique</x:v>
      </x:c>
      <x:c r="L94" t="str">
        <x:v>OK</x:v>
      </x:c>
    </x:row>
    <x:row r="95">
      <x:c r="A95" t="str">
        <x:v>ORD-1091</x:v>
      </x:c>
      <x:c r="B95" t="str">
        <x:v>Sofia Morozova</x:v>
      </x:c>
      <x:c r="C95" t="str">
        <x:v>sofia.morozova91@gmail.com</x:v>
      </x:c>
      <x:c r="D95" t="str">
        <x:v>+3725481017</x:v>
      </x:c>
      <x:c r="E95" t="str">
        <x:v>Warsaw</x:v>
      </x:c>
      <x:c r="F95" s="38" t="n">
        <x:v>46140</x:v>
      </x:c>
      <x:c r="G95" t="str">
        <x:v>Desk Lamp</x:v>
      </x:c>
      <x:c r="H95" t="str">
        <x:v>Home</x:v>
      </x:c>
      <x:c r="I95" s="40" t="n">
        <x:v>153.31</x:v>
      </x:c>
      <x:c r="J95" t="str">
        <x:v>REFUNDED</x:v>
      </x:c>
      <x:c r="K95" t="str">
        <x:v>Unique</x:v>
      </x:c>
      <x:c r="L95" t="str">
        <x:v>OK</x:v>
      </x:c>
    </x:row>
    <x:row r="96">
      <x:c r="A96" t="str">
        <x:v>ORD-1092</x:v>
      </x:c>
      <x:c r="B96" t="str">
        <x:v>Kate Brown</x:v>
      </x:c>
      <x:c r="C96" t="str">
        <x:v>kate.brown92@example.com</x:v>
      </x:c>
      <x:c r="D96" t="str">
        <x:v>+3725904798</x:v>
      </x:c>
      <x:c r="E96" t="str">
        <x:v>Riga</x:v>
      </x:c>
      <x:c r="F96" s="38" t="n">
        <x:v>46155</x:v>
      </x:c>
      <x:c r="G96" t="str">
        <x:v>USB-C Cable</x:v>
      </x:c>
      <x:c r="H96" t="str">
        <x:v>Electronics</x:v>
      </x:c>
      <x:c r="I96" s="40" t="n">
        <x:v>11.29</x:v>
      </x:c>
      <x:c r="J96" t="str">
        <x:v>CANCELLED</x:v>
      </x:c>
      <x:c r="K96" t="str">
        <x:v>Unique</x:v>
      </x:c>
      <x:c r="L96" t="str">
        <x:v>OK</x:v>
      </x:c>
    </x:row>
    <x:row r="97">
      <x:c r="A97" t="str">
        <x:v>ORD-1093</x:v>
      </x:c>
      <x:c r="B97" t="str">
        <x:v>Sofia Morozova</x:v>
      </x:c>
      <x:c r="C97" t="str">
        <x:v>sofia.morozova93@gmail.com</x:v>
      </x:c>
      <x:c r="D97" t="str">
        <x:v>+3725141652</x:v>
      </x:c>
      <x:c r="E97" t="str">
        <x:v>Helsinki</x:v>
      </x:c>
      <x:c r="F97" s="38" t="n">
        <x:v>46127</x:v>
      </x:c>
      <x:c r="G97" t="str">
        <x:v>Wireless Mouse</x:v>
      </x:c>
      <x:c r="H97" t="str">
        <x:v>Electronics</x:v>
      </x:c>
      <x:c r="I97" s="40" t="n">
        <x:v>112.17</x:v>
      </x:c>
      <x:c r="J97" t="str">
        <x:v>CANCELLED</x:v>
      </x:c>
      <x:c r="K97" t="str">
        <x:v>Unique</x:v>
      </x:c>
      <x:c r="L97" t="str">
        <x:v>OK</x:v>
      </x:c>
    </x:row>
    <x:row r="98">
      <x:c r="A98" t="str">
        <x:v>ORD-1094</x:v>
      </x:c>
      <x:c r="B98" t="str">
        <x:v>Sofia Morozova</x:v>
      </x:c>
      <x:c r="C98" t="str">
        <x:v>sofia.morozova94@gmail.com</x:v>
      </x:c>
      <x:c r="D98" t="str">
        <x:v>+3725673995</x:v>
      </x:c>
      <x:c r="E98" t="str">
        <x:v>Vilnius</x:v>
      </x:c>
      <x:c r="F98" s="38" t="n">
        <x:v>46167</x:v>
      </x:c>
      <x:c r="G98" t="str">
        <x:v>Water Bottle</x:v>
      </x:c>
      <x:c r="H98" t="str">
        <x:v>Sports</x:v>
      </x:c>
      <x:c r="I98" s="40" t="n">
        <x:v>68.21</x:v>
      </x:c>
      <x:c r="J98" t="str">
        <x:v>PAID</x:v>
      </x:c>
      <x:c r="K98" t="str">
        <x:v>Unique</x:v>
      </x:c>
      <x:c r="L98" t="str">
        <x:v>OK</x:v>
      </x:c>
    </x:row>
    <x:row r="99">
      <x:c r="A99" t="str">
        <x:v>ORD-1095</x:v>
      </x:c>
      <x:c r="B99" t="str">
        <x:v>Anna Ivanova</x:v>
      </x:c>
      <x:c r="C99" t="str">
        <x:v>anna.ivanova95@gmail.com</x:v>
      </x:c>
      <x:c r="D99" t="str">
        <x:v>+3725997989</x:v>
      </x:c>
      <x:c r="E99" t="str">
        <x:v>Tartu</x:v>
      </x:c>
      <x:c r="F99" s="38" t="n">
        <x:v>46072</x:v>
      </x:c>
      <x:c r="G99" t="str">
        <x:v>USB-C Cable</x:v>
      </x:c>
      <x:c r="H99" t="str">
        <x:v>Electronics</x:v>
      </x:c>
      <x:c r="I99" s="40" t="n">
        <x:v>21.73</x:v>
      </x:c>
      <x:c r="J99" t="str">
        <x:v>PAID</x:v>
      </x:c>
      <x:c r="K99" t="str">
        <x:v>Unique</x:v>
      </x:c>
      <x:c r="L99" t="str">
        <x:v>OK</x:v>
      </x:c>
    </x:row>
    <x:row r="100">
      <x:c r="A100" t="str">
        <x:v>ORD-1096</x:v>
      </x:c>
      <x:c r="B100" t="str">
        <x:v>Alina Fedorova</x:v>
      </x:c>
      <x:c r="C100" t="str">
        <x:v>alina.fedorova96@example.com</x:v>
      </x:c>
      <x:c r="D100" t="str">
        <x:v>+3725128609</x:v>
      </x:c>
      <x:c r="E100" t="str">
        <x:v>Helsinki</x:v>
      </x:c>
      <x:c r="F100" s="38" t="n">
        <x:v>46053</x:v>
      </x:c>
      <x:c r="G100" t="str">
        <x:v>USB-C Cable</x:v>
      </x:c>
      <x:c r="H100" t="str">
        <x:v>Electronics</x:v>
      </x:c>
      <x:c r="I100" s="40" t="n">
        <x:v>22.35</x:v>
      </x:c>
      <x:c r="J100" t="str">
        <x:v>PAID</x:v>
      </x:c>
      <x:c r="K100" t="str">
        <x:v>Unique</x:v>
      </x:c>
      <x:c r="L100" t="str">
        <x:v>OK</x:v>
      </x:c>
    </x:row>
    <x:row r="101">
      <x:c r="A101" t="str">
        <x:v>ORD-1097</x:v>
      </x:c>
      <x:c r="B101" t="str">
        <x:v>Irina Popova</x:v>
      </x:c>
      <x:c r="C101" t="str">
        <x:v>irina.popova97@mail.com</x:v>
      </x:c>
      <x:c r="D101" t="str">
        <x:v>+3725277519</x:v>
      </x:c>
      <x:c r="E101" t="str">
        <x:v>Tartu</x:v>
      </x:c>
      <x:c r="F101" s="38" t="n">
        <x:v>46083</x:v>
      </x:c>
      <x:c r="G101" t="str">
        <x:v>Coffee Beans</x:v>
      </x:c>
      <x:c r="H101" t="str">
        <x:v>Food</x:v>
      </x:c>
      <x:c r="I101" s="40" t="n">
        <x:v>70.86</x:v>
      </x:c>
      <x:c r="J101" t="str">
        <x:v>PAID</x:v>
      </x:c>
      <x:c r="K101" t="str">
        <x:v>Unique</x:v>
      </x:c>
      <x:c r="L101" t="str">
        <x:v>OK</x:v>
      </x:c>
    </x:row>
    <x:row r="102">
      <x:c r="A102" t="str">
        <x:v>ORD-1098</x:v>
      </x:c>
      <x:c r="B102" t="str">
        <x:v>Anna Ivanova</x:v>
      </x:c>
      <x:c r="C102" t="str">
        <x:v>anna.ivanova98@mail.com</x:v>
      </x:c>
      <x:c r="D102" t="str">
        <x:v>+3725542351</x:v>
      </x:c>
      <x:c r="E102" t="str">
        <x:v>Helsinki</x:v>
      </x:c>
      <x:c r="F102" s="38" t="n">
        <x:v>46035</x:v>
      </x:c>
      <x:c r="G102" t="str">
        <x:v>Yoga Mat</x:v>
      </x:c>
      <x:c r="H102" t="str">
        <x:v>Sports</x:v>
      </x:c>
      <x:c r="I102" s="40" t="n">
        <x:v>133.47</x:v>
      </x:c>
      <x:c r="J102" t="str">
        <x:v>PAID</x:v>
      </x:c>
      <x:c r="K102" t="str">
        <x:v>Unique</x:v>
      </x:c>
      <x:c r="L102" t="str">
        <x:v>OK</x:v>
      </x:c>
    </x:row>
    <x:row r="103">
      <x:c r="A103" t="str">
        <x:v>ORD-1099</x:v>
      </x:c>
      <x:c r="B103" t="str">
        <x:v>Alina Fedorova</x:v>
      </x:c>
      <x:c r="C103" t="str">
        <x:v>alina.fedorova99@gmail.com</x:v>
      </x:c>
      <x:c r="D103" t="str">
        <x:v>+3725810836</x:v>
      </x:c>
      <x:c r="E103" t="str">
        <x:v>Helsinki</x:v>
      </x:c>
      <x:c r="F103" s="38" t="n">
        <x:v>46121</x:v>
      </x:c>
      <x:c r="G103" t="str">
        <x:v>Yoga Mat</x:v>
      </x:c>
      <x:c r="H103" t="str">
        <x:v>Sports</x:v>
      </x:c>
      <x:c r="I103" s="40" t="n">
        <x:v>57.2</x:v>
      </x:c>
      <x:c r="J103" t="str">
        <x:v>PAID</x:v>
      </x:c>
      <x:c r="K103" t="str">
        <x:v>Unique</x:v>
      </x:c>
      <x:c r="L103" t="str">
        <x:v>OK</x:v>
      </x:c>
    </x:row>
    <x:row r="104">
      <x:c r="A104" t="str">
        <x:v>ORD-1100</x:v>
      </x:c>
      <x:c r="B104" t="str">
        <x:v>Sofia Morozova</x:v>
      </x:c>
      <x:c r="C104" t="str">
        <x:v>sofia.morozova100@mail.com</x:v>
      </x:c>
      <x:c r="D104" t="str">
        <x:v>+3725669319</x:v>
      </x:c>
      <x:c r="E104" t="str">
        <x:v>Tartu</x:v>
      </x:c>
      <x:c r="F104" s="38" t="n">
        <x:v>46088</x:v>
      </x:c>
      <x:c r="G104" t="str">
        <x:v>Coffee Beans</x:v>
      </x:c>
      <x:c r="H104" t="str">
        <x:v>Food</x:v>
      </x:c>
      <x:c r="I104" s="40" t="n">
        <x:v>16.47</x:v>
      </x:c>
      <x:c r="J104" t="str">
        <x:v>CANCELLED</x:v>
      </x:c>
      <x:c r="K104" t="str">
        <x:v>Unique</x:v>
      </x:c>
      <x:c r="L104" t="str">
        <x:v>OK</x:v>
      </x:c>
    </x:row>
    <x:row r="105">
      <x:c r="A105" t="str">
        <x:v>ORD-1101</x:v>
      </x:c>
      <x:c r="B105" t="str">
        <x:v>Anna Ivanova</x:v>
      </x:c>
      <x:c r="C105" t="str">
        <x:v>anna.ivanova101@example.com</x:v>
      </x:c>
      <x:c r="D105" t="str">
        <x:v>+3725847011</x:v>
      </x:c>
      <x:c r="E105" t="str">
        <x:v>Tartu</x:v>
      </x:c>
      <x:c r="F105" s="38" t="n">
        <x:v>46084</x:v>
      </x:c>
      <x:c r="G105" t="str">
        <x:v>USB-C Cable</x:v>
      </x:c>
      <x:c r="H105" t="str">
        <x:v>Electronics</x:v>
      </x:c>
      <x:c r="I105" s="40" t="n">
        <x:v>47.11</x:v>
      </x:c>
      <x:c r="J105" t="str">
        <x:v>PAID</x:v>
      </x:c>
      <x:c r="K105" t="str">
        <x:v>Unique</x:v>
      </x:c>
      <x:c r="L105" t="str">
        <x:v>OK</x:v>
      </x:c>
    </x:row>
    <x:row r="106">
      <x:c r="A106" t="str">
        <x:v>ORD-1102</x:v>
      </x:c>
      <x:c r="B106" t="str">
        <x:v>Olga Sokolova</x:v>
      </x:c>
      <x:c r="C106" t="str">
        <x:v>olga.sokolova102@gmail.com</x:v>
      </x:c>
      <x:c r="D106" t="str">
        <x:v>+3725260411</x:v>
      </x:c>
      <x:c r="E106" t="str">
        <x:v>Helsinki</x:v>
      </x:c>
      <x:c r="F106" s="38" t="n">
        <x:v>46047</x:v>
      </x:c>
      <x:c r="G106" t="str">
        <x:v>Desk Lamp</x:v>
      </x:c>
      <x:c r="H106" t="str">
        <x:v>Home</x:v>
      </x:c>
      <x:c r="I106" s="40" t="n">
        <x:v>116.41</x:v>
      </x:c>
      <x:c r="J106" t="str">
        <x:v>PENDING</x:v>
      </x:c>
      <x:c r="K106" t="str">
        <x:v>Unique</x:v>
      </x:c>
      <x:c r="L106" t="str">
        <x:v>OK</x:v>
      </x:c>
    </x:row>
    <x:row r="107">
      <x:c r="A107" t="str">
        <x:v>ORD-1103</x:v>
      </x:c>
      <x:c r="B107" t="str">
        <x:v>Nina Volkova</x:v>
      </x:c>
      <x:c r="C107" t="str">
        <x:v>nina.volkova103@mail.com</x:v>
      </x:c>
      <x:c r="D107" t="str">
        <x:v>+3725459260</x:v>
      </x:c>
      <x:c r="E107" t="str">
        <x:v>Helsinki</x:v>
      </x:c>
      <x:c r="F107" s="38" t="n">
        <x:v>46162</x:v>
      </x:c>
      <x:c r="G107" t="str">
        <x:v>Water Bottle</x:v>
      </x:c>
      <x:c r="H107" t="str">
        <x:v>Sports</x:v>
      </x:c>
      <x:c r="I107" s="40" t="n">
        <x:v>81.57</x:v>
      </x:c>
      <x:c r="J107" t="str">
        <x:v>PENDING</x:v>
      </x:c>
      <x:c r="K107" t="str">
        <x:v>Unique</x:v>
      </x:c>
      <x:c r="L107" t="str">
        <x:v>OK</x:v>
      </x:c>
    </x:row>
    <x:row r="108">
      <x:c r="A108" t="str">
        <x:v>ORD-1104</x:v>
      </x:c>
      <x:c r="B108" t="str">
        <x:v>Kate Brown</x:v>
      </x:c>
      <x:c r="C108" t="str">
        <x:v>kate.brown104@gmail.com</x:v>
      </x:c>
      <x:c r="D108" t="str">
        <x:v>+3725633340</x:v>
      </x:c>
      <x:c r="E108" t="str">
        <x:v>Warsaw</x:v>
      </x:c>
      <x:c r="F108" s="38" t="n">
        <x:v>46032</x:v>
      </x:c>
      <x:c r="G108" t="str">
        <x:v>USB-C Cable</x:v>
      </x:c>
      <x:c r="H108" t="str">
        <x:v>Electronics</x:v>
      </x:c>
      <x:c r="I108" s="40" t="n">
        <x:v>8.93</x:v>
      </x:c>
      <x:c r="J108" t="str">
        <x:v>PAID</x:v>
      </x:c>
      <x:c r="K108" t="str">
        <x:v>Unique</x:v>
      </x:c>
      <x:c r="L108" t="str">
        <x:v>OK</x:v>
      </x:c>
    </x:row>
    <x:row r="109">
      <x:c r="A109" t="str">
        <x:v>ORD-1105</x:v>
      </x:c>
      <x:c r="B109" t="str">
        <x:v>Maria Petrova</x:v>
      </x:c>
      <x:c r="C109" t="str">
        <x:v>maria.petrova105@gmail.com</x:v>
      </x:c>
      <x:c r="D109" t="str">
        <x:v>+3725413195</x:v>
      </x:c>
      <x:c r="E109" t="str">
        <x:v>Riga</x:v>
      </x:c>
      <x:c r="F109" s="38" t="n">
        <x:v>46075</x:v>
      </x:c>
      <x:c r="G109" t="str">
        <x:v>Water Bottle</x:v>
      </x:c>
      <x:c r="H109" t="str">
        <x:v>Sports</x:v>
      </x:c>
      <x:c r="I109" s="40" t="n">
        <x:v>81.96</x:v>
      </x:c>
      <x:c r="J109" t="str">
        <x:v>CANCELLED</x:v>
      </x:c>
      <x:c r="K109" t="str">
        <x:v>Unique</x:v>
      </x:c>
      <x:c r="L109" t="str">
        <x:v>OK</x:v>
      </x:c>
    </x:row>
    <x:row r="110">
      <x:c r="A110" t="str">
        <x:v>ORD-1106</x:v>
      </x:c>
      <x:c r="B110" t="str">
        <x:v>Alina Fedorova</x:v>
      </x:c>
      <x:c r="C110" t="str">
        <x:v>alina.fedorova106@mail.com</x:v>
      </x:c>
      <x:c r="D110" t="str">
        <x:v>+3725391532</x:v>
      </x:c>
      <x:c r="E110" t="str">
        <x:v>Helsinki</x:v>
      </x:c>
      <x:c r="F110" s="38" t="n">
        <x:v>46104</x:v>
      </x:c>
      <x:c r="G110" t="str">
        <x:v>USB-C Cable</x:v>
      </x:c>
      <x:c r="H110" t="str">
        <x:v>Electronics</x:v>
      </x:c>
      <x:c r="I110" s="40" t="n">
        <x:v>41.54</x:v>
      </x:c>
      <x:c r="J110" t="str">
        <x:v>PENDING</x:v>
      </x:c>
      <x:c r="K110" t="str">
        <x:v>Unique</x:v>
      </x:c>
      <x:c r="L110" t="str">
        <x:v>OK</x:v>
      </x:c>
    </x:row>
    <x:row r="111">
      <x:c r="A111" t="str">
        <x:v>ORD-1107</x:v>
      </x:c>
      <x:c r="B111" t="str">
        <x:v>Anna Ivanova</x:v>
      </x:c>
      <x:c r="C111" t="str">
        <x:v>anna.ivanova107@gmail.com</x:v>
      </x:c>
      <x:c r="D111" t="str">
        <x:v>+3725452790</x:v>
      </x:c>
      <x:c r="E111" t="str">
        <x:v>Tallinn</x:v>
      </x:c>
      <x:c r="F111" s="38" t="n">
        <x:v>46135</x:v>
      </x:c>
      <x:c r="G111" t="str">
        <x:v>Desk Lamp</x:v>
      </x:c>
      <x:c r="H111" t="str">
        <x:v>Home</x:v>
      </x:c>
      <x:c r="I111" s="40" t="n">
        <x:v>35.12</x:v>
      </x:c>
      <x:c r="J111" t="str">
        <x:v>REFUNDED</x:v>
      </x:c>
      <x:c r="K111" t="str">
        <x:v>Unique</x:v>
      </x:c>
      <x:c r="L111" t="str">
        <x:v>OK</x:v>
      </x:c>
    </x:row>
    <x:row r="112">
      <x:c r="A112" t="str">
        <x:v>ORD-1108</x:v>
      </x:c>
      <x:c r="B112" t="str">
        <x:v>Sofia Morozova</x:v>
      </x:c>
      <x:c r="C112" t="str">
        <x:v>sofia.morozova108@example.com</x:v>
      </x:c>
      <x:c r="D112" t="str">
        <x:v>+3725981202</x:v>
      </x:c>
      <x:c r="E112" t="str">
        <x:v>Helsinki</x:v>
      </x:c>
      <x:c r="F112" s="38" t="n">
        <x:v>46173</x:v>
      </x:c>
      <x:c r="G112" t="str">
        <x:v>Notebook A5</x:v>
      </x:c>
      <x:c r="H112" t="str">
        <x:v>Office</x:v>
      </x:c>
      <x:c r="I112" s="40" t="n">
        <x:v>14.96</x:v>
      </x:c>
      <x:c r="J112" t="str">
        <x:v>PAID</x:v>
      </x:c>
      <x:c r="K112" t="str">
        <x:v>Unique</x:v>
      </x:c>
      <x:c r="L112" t="str">
        <x:v>OK</x:v>
      </x:c>
    </x:row>
    <x:row r="113">
      <x:c r="A113" t="str">
        <x:v>ORD-1109</x:v>
      </x:c>
      <x:c r="B113" t="str">
        <x:v>Elena Smirnova</x:v>
      </x:c>
      <x:c r="C113" t="str">
        <x:v>elena.smirnova109@gmail.com</x:v>
      </x:c>
      <x:c r="D113" t="str">
        <x:v>+3725686561</x:v>
      </x:c>
      <x:c r="E113" t="str">
        <x:v>Helsinki</x:v>
      </x:c>
      <x:c r="F113" s="38" t="n">
        <x:v>46139</x:v>
      </x:c>
      <x:c r="G113" t="str">
        <x:v>Yoga Mat</x:v>
      </x:c>
      <x:c r="H113" t="str">
        <x:v>Sports</x:v>
      </x:c>
      <x:c r="I113" s="40" t="n">
        <x:v>63.58</x:v>
      </x:c>
      <x:c r="J113" t="str">
        <x:v>CANCELLED</x:v>
      </x:c>
      <x:c r="K113" t="str">
        <x:v>Unique</x:v>
      </x:c>
      <x:c r="L113" t="str">
        <x:v>OK</x:v>
      </x:c>
    </x:row>
    <x:row r="114">
      <x:c r="A114" t="str">
        <x:v>ORD-1110</x:v>
      </x:c>
      <x:c r="B114" t="str">
        <x:v>Alina Fedorova</x:v>
      </x:c>
      <x:c r="C114" t="str">
        <x:v>alina.fedorova110@mail.com</x:v>
      </x:c>
      <x:c r="D114" t="str">
        <x:v>+3725988809</x:v>
      </x:c>
      <x:c r="E114" t="str">
        <x:v>Warsaw</x:v>
      </x:c>
      <x:c r="F114" s="38" t="n">
        <x:v>46036</x:v>
      </x:c>
      <x:c r="G114" t="str">
        <x:v>Wireless Mouse</x:v>
      </x:c>
      <x:c r="H114" t="str">
        <x:v>Electronics</x:v>
      </x:c>
      <x:c r="I114" s="40" t="n">
        <x:v>81.73</x:v>
      </x:c>
      <x:c r="J114" t="str">
        <x:v>CANCELLED</x:v>
      </x:c>
      <x:c r="K114" t="str">
        <x:v>Unique</x:v>
      </x:c>
      <x:c r="L114" t="str">
        <x:v>OK</x:v>
      </x:c>
    </x:row>
    <x:row r="115">
      <x:c r="A115" t="str">
        <x:v>ORD-1111</x:v>
      </x:c>
      <x:c r="B115" t="str">
        <x:v>Anna Ivanova</x:v>
      </x:c>
      <x:c r="C115" t="str">
        <x:v>anna.ivanova111@example.com</x:v>
      </x:c>
      <x:c r="D115" t="str">
        <x:v>+3725557242</x:v>
      </x:c>
      <x:c r="E115" t="str">
        <x:v>Tallinn</x:v>
      </x:c>
      <x:c r="F115" s="38" t="n">
        <x:v>46126</x:v>
      </x:c>
      <x:c r="G115" t="str">
        <x:v>Yoga Mat</x:v>
      </x:c>
      <x:c r="H115" t="str">
        <x:v>Sports</x:v>
      </x:c>
      <x:c r="I115" s="40" t="n">
        <x:v>111.88</x:v>
      </x:c>
      <x:c r="J115" t="str">
        <x:v>CANCELLED</x:v>
      </x:c>
      <x:c r="K115" t="str">
        <x:v>Unique</x:v>
      </x:c>
      <x:c r="L115" t="str">
        <x:v>OK</x:v>
      </x:c>
    </x:row>
    <x:row r="116">
      <x:c r="A116" t="str">
        <x:v>ORD-1112</x:v>
      </x:c>
      <x:c r="B116" t="str">
        <x:v>Elena Smirnova</x:v>
      </x:c>
      <x:c r="C116" t="str">
        <x:v>elena.smirnova112@example.com</x:v>
      </x:c>
      <x:c r="D116" t="str">
        <x:v>+3725201538</x:v>
      </x:c>
      <x:c r="E116" t="str">
        <x:v>Warsaw</x:v>
      </x:c>
      <x:c r="F116" s="38" t="n">
        <x:v>46059</x:v>
      </x:c>
      <x:c r="G116" t="str">
        <x:v>Water Bottle</x:v>
      </x:c>
      <x:c r="H116" t="str">
        <x:v>Sports</x:v>
      </x:c>
      <x:c r="I116" s="40" t="n">
        <x:v>51.13</x:v>
      </x:c>
      <x:c r="J116" t="str">
        <x:v>REFUNDED</x:v>
      </x:c>
      <x:c r="K116" t="str">
        <x:v>Unique</x:v>
      </x:c>
      <x:c r="L116" t="str">
        <x:v>OK</x:v>
      </x:c>
    </x:row>
    <x:row r="117">
      <x:c r="A117" t="str">
        <x:v>ORD-1113</x:v>
      </x:c>
      <x:c r="B117" t="str">
        <x:v>Elena Smirnova</x:v>
      </x:c>
      <x:c r="C117" t="str">
        <x:v>elena.smirnova113@gmail.com</x:v>
      </x:c>
      <x:c r="D117" t="str">
        <x:v>+3725817715</x:v>
      </x:c>
      <x:c r="E117" t="str">
        <x:v>Helsinki</x:v>
      </x:c>
      <x:c r="F117" s="38" t="n">
        <x:v>46155</x:v>
      </x:c>
      <x:c r="G117" t="str">
        <x:v>Wireless Mouse</x:v>
      </x:c>
      <x:c r="H117" t="str">
        <x:v>Electronics</x:v>
      </x:c>
      <x:c r="I117" s="40" t="n">
        <x:v>54.18</x:v>
      </x:c>
      <x:c r="J117" t="str">
        <x:v>PENDING</x:v>
      </x:c>
      <x:c r="K117" t="str">
        <x:v>Unique</x:v>
      </x:c>
      <x:c r="L117" t="str">
        <x:v>OK</x:v>
      </x:c>
    </x:row>
    <x:row r="118">
      <x:c r="A118" t="str">
        <x:v>ORD-1114</x:v>
      </x:c>
      <x:c r="B118" t="str">
        <x:v>Nina Volkova</x:v>
      </x:c>
      <x:c r="C118" t="str">
        <x:v>nina.volkova114@mail.com</x:v>
      </x:c>
      <x:c r="D118" t="str">
        <x:v>+3725283977</x:v>
      </x:c>
      <x:c r="E118" t="str">
        <x:v>Warsaw</x:v>
      </x:c>
      <x:c r="F118" s="38" t="n">
        <x:v>46071</x:v>
      </x:c>
      <x:c r="G118" t="str">
        <x:v>Coffee Beans</x:v>
      </x:c>
      <x:c r="H118" t="str">
        <x:v>Food</x:v>
      </x:c>
      <x:c r="I118" s="40" t="n">
        <x:v>15.33</x:v>
      </x:c>
      <x:c r="J118" t="str">
        <x:v>PAID</x:v>
      </x:c>
      <x:c r="K118" t="str">
        <x:v>Unique</x:v>
      </x:c>
      <x:c r="L118" t="str">
        <x:v>OK</x:v>
      </x:c>
    </x:row>
    <x:row r="119">
      <x:c r="A119" t="str">
        <x:v>ORD-1115</x:v>
      </x:c>
      <x:c r="B119" t="str">
        <x:v>Elena Smirnova</x:v>
      </x:c>
      <x:c r="C119" t="str">
        <x:v>elena.smirnova115@gmail.com</x:v>
      </x:c>
      <x:c r="D119" t="str">
        <x:v>+3725383290</x:v>
      </x:c>
      <x:c r="E119" t="str">
        <x:v>Tartu</x:v>
      </x:c>
      <x:c r="F119" s="38" t="n">
        <x:v>46101</x:v>
      </x:c>
      <x:c r="G119" t="str">
        <x:v>Yoga Mat</x:v>
      </x:c>
      <x:c r="H119" t="str">
        <x:v>Sports</x:v>
      </x:c>
      <x:c r="I119" s="40" t="n">
        <x:v>111.6</x:v>
      </x:c>
      <x:c r="J119" t="str">
        <x:v>CANCELLED</x:v>
      </x:c>
      <x:c r="K119" t="str">
        <x:v>Unique</x:v>
      </x:c>
      <x:c r="L119" t="str">
        <x:v>OK</x:v>
      </x:c>
    </x:row>
    <x:row r="120">
      <x:c r="A120" t="str">
        <x:v>ORD-1116</x:v>
      </x:c>
      <x:c r="B120" t="str">
        <x:v>Irina Popova</x:v>
      </x:c>
      <x:c r="C120" t="str">
        <x:v>irina.popova116@gmail.com</x:v>
      </x:c>
      <x:c r="D120" t="str">
        <x:v>+3725941066</x:v>
      </x:c>
      <x:c r="E120" t="str">
        <x:v>Helsinki</x:v>
      </x:c>
      <x:c r="F120" s="38" t="n">
        <x:v>46143</x:v>
      </x:c>
      <x:c r="G120" t="str">
        <x:v>Desk Lamp</x:v>
      </x:c>
      <x:c r="H120" t="str">
        <x:v>Home</x:v>
      </x:c>
      <x:c r="I120" s="40" t="n">
        <x:v>145.67</x:v>
      </x:c>
      <x:c r="J120" t="str">
        <x:v>REFUNDED</x:v>
      </x:c>
      <x:c r="K120" t="str">
        <x:v>Unique</x:v>
      </x:c>
      <x:c r="L120" t="str">
        <x:v>OK</x:v>
      </x:c>
    </x:row>
    <x:row r="121">
      <x:c r="A121" t="str">
        <x:v>ORD-1117</x:v>
      </x:c>
      <x:c r="B121" t="str">
        <x:v>Maria Petrova</x:v>
      </x:c>
      <x:c r="C121" t="str">
        <x:v>maria.petrova117@gmail.com</x:v>
      </x:c>
      <x:c r="D121" t="str">
        <x:v>+3725694828</x:v>
      </x:c>
      <x:c r="E121" t="str">
        <x:v>Vilnius</x:v>
      </x:c>
      <x:c r="F121" s="38" t="n">
        <x:v>46141</x:v>
      </x:c>
      <x:c r="G121" t="str">
        <x:v>Water Bottle</x:v>
      </x:c>
      <x:c r="H121" t="str">
        <x:v>Sports</x:v>
      </x:c>
      <x:c r="I121" s="40" t="n">
        <x:v>57.49</x:v>
      </x:c>
      <x:c r="J121" t="str">
        <x:v>PAID</x:v>
      </x:c>
      <x:c r="K121" t="str">
        <x:v>Unique</x:v>
      </x:c>
      <x:c r="L121" t="str">
        <x:v>OK</x:v>
      </x:c>
    </x:row>
    <x:row r="122">
      <x:c r="A122" t="str">
        <x:v>ORD-1118</x:v>
      </x:c>
      <x:c r="B122" t="str">
        <x:v>Anna Ivanova</x:v>
      </x:c>
      <x:c r="C122" t="str">
        <x:v>anna.ivanova118@gmail.com</x:v>
      </x:c>
      <x:c r="D122" t="str">
        <x:v>+3725580773</x:v>
      </x:c>
      <x:c r="E122" t="str">
        <x:v>Tallinn</x:v>
      </x:c>
      <x:c r="F122" s="38" t="n">
        <x:v>46048</x:v>
      </x:c>
      <x:c r="G122" t="str">
        <x:v>Coffee Beans</x:v>
      </x:c>
      <x:c r="H122" t="str">
        <x:v>Food</x:v>
      </x:c>
      <x:c r="I122" s="40" t="n">
        <x:v>53.07</x:v>
      </x:c>
      <x:c r="J122" t="str">
        <x:v>CANCELLED</x:v>
      </x:c>
      <x:c r="K122" t="str">
        <x:v>Unique</x:v>
      </x:c>
      <x:c r="L122" t="str">
        <x:v>OK</x:v>
      </x:c>
    </x:row>
    <x:row r="123">
      <x:c r="A123" t="str">
        <x:v>ORD-1119</x:v>
      </x:c>
      <x:c r="B123" t="str">
        <x:v>Sofia Morozova</x:v>
      </x:c>
      <x:c r="C123" t="str">
        <x:v>sofia.morozova119@example.com</x:v>
      </x:c>
      <x:c r="D123" t="str">
        <x:v>+3725582417</x:v>
      </x:c>
      <x:c r="E123" t="str">
        <x:v>Vilnius</x:v>
      </x:c>
      <x:c r="F123" s="38" t="n">
        <x:v>46149</x:v>
      </x:c>
      <x:c r="G123" t="str">
        <x:v>Water Bottle</x:v>
      </x:c>
      <x:c r="H123" t="str">
        <x:v>Sports</x:v>
      </x:c>
      <x:c r="I123" s="40" t="n">
        <x:v>38.47</x:v>
      </x:c>
      <x:c r="J123" t="str">
        <x:v>REFUNDED</x:v>
      </x:c>
      <x:c r="K123" t="str">
        <x:v>Unique</x:v>
      </x:c>
      <x:c r="L123" t="str">
        <x:v>OK</x:v>
      </x:c>
    </x:row>
    <x:row r="124">
      <x:c r="A124" t="str">
        <x:v>ORD-1120</x:v>
      </x:c>
      <x:c r="B124" t="str">
        <x:v>Irina Popova</x:v>
      </x:c>
      <x:c r="C124" t="str">
        <x:v>irina.popova120@mail.com</x:v>
      </x:c>
      <x:c r="D124" t="str">
        <x:v>+3725443627</x:v>
      </x:c>
      <x:c r="E124" t="str">
        <x:v>Riga</x:v>
      </x:c>
      <x:c r="F124" s="38" t="n">
        <x:v>46060</x:v>
      </x:c>
      <x:c r="G124" t="str">
        <x:v>Notebook A5</x:v>
      </x:c>
      <x:c r="H124" t="str">
        <x:v>Office</x:v>
      </x:c>
      <x:c r="I124" s="40" t="n">
        <x:v>14.47</x:v>
      </x:c>
      <x:c r="J124" t="str">
        <x:v>CANCELLED</x:v>
      </x:c>
      <x:c r="K124" t="str">
        <x:v>Unique</x:v>
      </x:c>
      <x:c r="L124" t="str">
        <x:v>OK</x:v>
      </x:c>
    </x:row>
    <x:row r="125">
      <x:c r="A125" t="str">
        <x:v>ORD-1121</x:v>
      </x:c>
      <x:c r="B125" t="str">
        <x:v>Nina Volkova</x:v>
      </x:c>
      <x:c r="C125" t="str">
        <x:v>nina.volkova121@example.com</x:v>
      </x:c>
      <x:c r="D125" t="str">
        <x:v>+3725764396</x:v>
      </x:c>
      <x:c r="E125" t="str">
        <x:v>Riga</x:v>
      </x:c>
      <x:c r="F125" s="38" t="n">
        <x:v>46076</x:v>
      </x:c>
      <x:c r="G125" t="str">
        <x:v>Water Bottle</x:v>
      </x:c>
      <x:c r="H125" t="str">
        <x:v>Sports</x:v>
      </x:c>
      <x:c r="I125" s="40" t="n">
        <x:v>34.42</x:v>
      </x:c>
      <x:c r="J125" t="str">
        <x:v>PAID</x:v>
      </x:c>
      <x:c r="K125" t="str">
        <x:v>Unique</x:v>
      </x:c>
      <x:c r="L125" t="str">
        <x:v>OK</x:v>
      </x:c>
    </x:row>
    <x:row r="126">
      <x:c r="A126" t="str">
        <x:v>ORD-1122</x:v>
      </x:c>
      <x:c r="B126" t="str">
        <x:v>Maria Petrova</x:v>
      </x:c>
      <x:c r="C126" t="str">
        <x:v>maria.petrova122@example.com</x:v>
      </x:c>
      <x:c r="D126" t="str">
        <x:v>+3725854113</x:v>
      </x:c>
      <x:c r="E126" t="str">
        <x:v>Tartu</x:v>
      </x:c>
      <x:c r="F126" s="38" t="n">
        <x:v>46118</x:v>
      </x:c>
      <x:c r="G126" t="str">
        <x:v>Water Bottle</x:v>
      </x:c>
      <x:c r="H126" t="str">
        <x:v>Sports</x:v>
      </x:c>
      <x:c r="I126" s="40" t="n">
        <x:v>81.72</x:v>
      </x:c>
      <x:c r="J126" t="str">
        <x:v>CANCELLED</x:v>
      </x:c>
      <x:c r="K126" t="str">
        <x:v>Unique</x:v>
      </x:c>
      <x:c r="L126" t="str">
        <x:v>OK</x:v>
      </x:c>
    </x:row>
    <x:row r="127">
      <x:c r="A127" t="str">
        <x:v>ORD-1123</x:v>
      </x:c>
      <x:c r="B127" t="str">
        <x:v>Alina Fedorova</x:v>
      </x:c>
      <x:c r="C127" t="str">
        <x:v>alina.fedorova123@gmail.com</x:v>
      </x:c>
      <x:c r="D127" t="str">
        <x:v>+3725520183</x:v>
      </x:c>
      <x:c r="E127" t="str">
        <x:v>Warsaw</x:v>
      </x:c>
      <x:c r="F127" s="38" t="n">
        <x:v>46058</x:v>
      </x:c>
      <x:c r="G127" t="str">
        <x:v>Desk Lamp</x:v>
      </x:c>
      <x:c r="H127" t="str">
        <x:v>Home</x:v>
      </x:c>
      <x:c r="I127" s="40" t="n">
        <x:v>105</x:v>
      </x:c>
      <x:c r="J127" t="str">
        <x:v>REFUNDED</x:v>
      </x:c>
      <x:c r="K127" t="str">
        <x:v>Unique</x:v>
      </x:c>
      <x:c r="L127" t="str">
        <x:v>OK</x:v>
      </x:c>
    </x:row>
    <x:row r="128">
      <x:c r="A128" t="str">
        <x:v>ORD-1124</x:v>
      </x:c>
      <x:c r="B128" t="str">
        <x:v>Irina Popova</x:v>
      </x:c>
      <x:c r="C128" t="str">
        <x:v>irina.popova124@mail.com</x:v>
      </x:c>
      <x:c r="D128" t="str">
        <x:v>+3725169431</x:v>
      </x:c>
      <x:c r="E128" t="str">
        <x:v>Warsaw</x:v>
      </x:c>
      <x:c r="F128" s="38" t="n">
        <x:v>46101</x:v>
      </x:c>
      <x:c r="G128" t="str">
        <x:v>Premium Tea</x:v>
      </x:c>
      <x:c r="H128" t="str">
        <x:v>Food</x:v>
      </x:c>
      <x:c r="I128" s="40" t="n">
        <x:v>38.08</x:v>
      </x:c>
      <x:c r="J128" t="str">
        <x:v>PAID</x:v>
      </x:c>
      <x:c r="K128" t="str">
        <x:v>Unique</x:v>
      </x:c>
      <x:c r="L128" t="str">
        <x:v>OK</x:v>
      </x:c>
    </x:row>
    <x:row r="129">
      <x:c r="A129" t="str">
        <x:v>ORD-1125</x:v>
      </x:c>
      <x:c r="B129" t="str">
        <x:v>Olga Sokolova</x:v>
      </x:c>
      <x:c r="C129" t="str">
        <x:v>olga.sokolova125@gmail.com</x:v>
      </x:c>
      <x:c r="D129" t="str">
        <x:v>+3725368186</x:v>
      </x:c>
      <x:c r="E129" t="str">
        <x:v>Tartu</x:v>
      </x:c>
      <x:c r="F129" s="38" t="n">
        <x:v>46051</x:v>
      </x:c>
      <x:c r="G129" t="str">
        <x:v>Notebook A5</x:v>
      </x:c>
      <x:c r="H129" t="str">
        <x:v>Office</x:v>
      </x:c>
      <x:c r="I129" s="40" t="n">
        <x:v>4.64</x:v>
      </x:c>
      <x:c r="J129" t="str">
        <x:v>REFUNDED</x:v>
      </x:c>
      <x:c r="K129" t="str">
        <x:v>Unique</x:v>
      </x:c>
      <x:c r="L129" t="str">
        <x:v>OK</x:v>
      </x:c>
    </x:row>
    <x:row r="130">
      <x:c r="A130" t="str">
        <x:v>ORD-1126</x:v>
      </x:c>
      <x:c r="B130" t="str">
        <x:v>Alina Fedorova</x:v>
      </x:c>
      <x:c r="C130" t="str">
        <x:v>alina.fedorova126@mail.com</x:v>
      </x:c>
      <x:c r="D130" t="str">
        <x:v>+3725403638</x:v>
      </x:c>
      <x:c r="E130" t="str">
        <x:v>Tartu</x:v>
      </x:c>
      <x:c r="F130" s="38" t="n">
        <x:v>46072</x:v>
      </x:c>
      <x:c r="G130" t="str">
        <x:v>Premium Tea</x:v>
      </x:c>
      <x:c r="H130" t="str">
        <x:v>Food</x:v>
      </x:c>
      <x:c r="I130" s="40" t="n">
        <x:v>32</x:v>
      </x:c>
      <x:c r="J130" t="str">
        <x:v>PAID</x:v>
      </x:c>
      <x:c r="K130" t="str">
        <x:v>Unique</x:v>
      </x:c>
      <x:c r="L130" t="str">
        <x:v>OK</x:v>
      </x:c>
    </x:row>
    <x:row r="131">
      <x:c r="A131" t="str">
        <x:v>ORD-1127</x:v>
      </x:c>
      <x:c r="B131" t="str">
        <x:v>Nina Volkova</x:v>
      </x:c>
      <x:c r="C131" t="str">
        <x:v>nina.volkova127@mail.com</x:v>
      </x:c>
      <x:c r="D131" t="str">
        <x:v>+3725918790</x:v>
      </x:c>
      <x:c r="E131" t="str">
        <x:v>Helsinki</x:v>
      </x:c>
      <x:c r="F131" s="38" t="n">
        <x:v>46034</x:v>
      </x:c>
      <x:c r="G131" t="str">
        <x:v>Premium Tea</x:v>
      </x:c>
      <x:c r="H131" t="str">
        <x:v>Food</x:v>
      </x:c>
      <x:c r="I131" s="40" t="n">
        <x:v>20.92</x:v>
      </x:c>
      <x:c r="J131" t="str">
        <x:v>CANCELLED</x:v>
      </x:c>
      <x:c r="K131" t="str">
        <x:v>Unique</x:v>
      </x:c>
      <x:c r="L131" t="str">
        <x:v>OK</x:v>
      </x:c>
    </x:row>
    <x:row r="132">
      <x:c r="A132" t="str">
        <x:v>ORD-1128</x:v>
      </x:c>
      <x:c r="B132" t="str">
        <x:v>Irina Popova</x:v>
      </x:c>
      <x:c r="C132" t="str">
        <x:v>irina.popova128@mail.com</x:v>
      </x:c>
      <x:c r="D132" t="str">
        <x:v>+3725124323</x:v>
      </x:c>
      <x:c r="E132" t="str">
        <x:v>Riga</x:v>
      </x:c>
      <x:c r="F132" s="38" t="n">
        <x:v>46095</x:v>
      </x:c>
      <x:c r="G132" t="str">
        <x:v>Coffee Beans</x:v>
      </x:c>
      <x:c r="H132" t="str">
        <x:v>Food</x:v>
      </x:c>
      <x:c r="I132" s="40" t="n">
        <x:v>57.7</x:v>
      </x:c>
      <x:c r="J132" t="str">
        <x:v>PAID</x:v>
      </x:c>
      <x:c r="K132" t="str">
        <x:v>Unique</x:v>
      </x:c>
      <x:c r="L132" t="str">
        <x:v>OK</x:v>
      </x:c>
    </x:row>
    <x:row r="133">
      <x:c r="A133" t="str">
        <x:v>ORD-1129</x:v>
      </x:c>
      <x:c r="B133" t="str">
        <x:v>Anna Ivanova</x:v>
      </x:c>
      <x:c r="C133" t="str">
        <x:v>anna.ivanova129@example.com</x:v>
      </x:c>
      <x:c r="D133" t="str">
        <x:v>+3725987216</x:v>
      </x:c>
      <x:c r="E133" t="str">
        <x:v>Warsaw</x:v>
      </x:c>
      <x:c r="F133" s="38" t="n">
        <x:v>46035</x:v>
      </x:c>
      <x:c r="G133" t="str">
        <x:v>Wireless Mouse</x:v>
      </x:c>
      <x:c r="H133" t="str">
        <x:v>Electronics</x:v>
      </x:c>
      <x:c r="I133" s="40" t="n">
        <x:v>111.06</x:v>
      </x:c>
      <x:c r="J133" t="str">
        <x:v>REFUNDED</x:v>
      </x:c>
      <x:c r="K133" t="str">
        <x:v>Unique</x:v>
      </x:c>
      <x:c r="L133" t="str">
        <x:v>OK</x:v>
      </x:c>
    </x:row>
    <x:row r="134">
      <x:c r="A134" t="str">
        <x:v>ORD-1130</x:v>
      </x:c>
      <x:c r="B134" t="str">
        <x:v>Alina Fedorova</x:v>
      </x:c>
      <x:c r="C134" t="str">
        <x:v>alina.fedorova130@mail.com</x:v>
      </x:c>
      <x:c r="D134" t="str">
        <x:v>+3725196571</x:v>
      </x:c>
      <x:c r="E134" t="str">
        <x:v>Tartu</x:v>
      </x:c>
      <x:c r="F134" s="38" t="n">
        <x:v>46173</x:v>
      </x:c>
      <x:c r="G134" t="str">
        <x:v>Wireless Mouse</x:v>
      </x:c>
      <x:c r="H134" t="str">
        <x:v>Electronics</x:v>
      </x:c>
      <x:c r="I134" s="40" t="n">
        <x:v>76.24</x:v>
      </x:c>
      <x:c r="J134" t="str">
        <x:v>REFUNDED</x:v>
      </x:c>
      <x:c r="K134" t="str">
        <x:v>Unique</x:v>
      </x:c>
      <x:c r="L134" t="str">
        <x:v>OK</x:v>
      </x:c>
    </x:row>
    <x:row r="135">
      <x:c r="A135" t="str">
        <x:v>ORD-1131</x:v>
      </x:c>
      <x:c r="B135" t="str">
        <x:v>Kate Brown</x:v>
      </x:c>
      <x:c r="C135" t="str">
        <x:v>kate.brown131@mail.com</x:v>
      </x:c>
      <x:c r="D135" t="str">
        <x:v>+3725943977</x:v>
      </x:c>
      <x:c r="E135" t="str">
        <x:v>Vilnius</x:v>
      </x:c>
      <x:c r="F135" s="38" t="n">
        <x:v>46092</x:v>
      </x:c>
      <x:c r="G135" t="str">
        <x:v>Premium Tea</x:v>
      </x:c>
      <x:c r="H135" t="str">
        <x:v>Food</x:v>
      </x:c>
      <x:c r="I135" s="40" t="n">
        <x:v>11.39</x:v>
      </x:c>
      <x:c r="J135" t="str">
        <x:v>PAID</x:v>
      </x:c>
      <x:c r="K135" t="str">
        <x:v>Unique</x:v>
      </x:c>
      <x:c r="L135" t="str">
        <x:v>OK</x:v>
      </x:c>
    </x:row>
    <x:row r="136">
      <x:c r="A136" t="str">
        <x:v>ORD-1132</x:v>
      </x:c>
      <x:c r="B136" t="str">
        <x:v>Daria Kuznetsova</x:v>
      </x:c>
      <x:c r="C136" t="str">
        <x:v>daria.kuznetsova132@mail.com</x:v>
      </x:c>
      <x:c r="D136" t="str">
        <x:v>+3725885889</x:v>
      </x:c>
      <x:c r="E136" t="str">
        <x:v>Helsinki</x:v>
      </x:c>
      <x:c r="F136" s="38" t="n">
        <x:v>46139</x:v>
      </x:c>
      <x:c r="G136" t="str">
        <x:v>Yoga Mat</x:v>
      </x:c>
      <x:c r="H136" t="str">
        <x:v>Sports</x:v>
      </x:c>
      <x:c r="I136" s="40" t="n">
        <x:v>87.16</x:v>
      </x:c>
      <x:c r="J136" t="str">
        <x:v>PENDING</x:v>
      </x:c>
      <x:c r="K136" t="str">
        <x:v>Unique</x:v>
      </x:c>
      <x:c r="L136" t="str">
        <x:v>OK</x:v>
      </x:c>
    </x:row>
    <x:row r="137">
      <x:c r="A137" t="str">
        <x:v>ORD-1133</x:v>
      </x:c>
      <x:c r="B137" t="str">
        <x:v>Alina Fedorova</x:v>
      </x:c>
      <x:c r="C137" t="str">
        <x:v>alina.fedorova133@example.com</x:v>
      </x:c>
      <x:c r="D137" t="str">
        <x:v>+3725520824</x:v>
      </x:c>
      <x:c r="E137" t="str">
        <x:v>Helsinki</x:v>
      </x:c>
      <x:c r="F137" s="38" t="n">
        <x:v>46082</x:v>
      </x:c>
      <x:c r="G137" t="str">
        <x:v>Premium Tea</x:v>
      </x:c>
      <x:c r="H137" t="str">
        <x:v>Food</x:v>
      </x:c>
      <x:c r="I137" s="40" t="n">
        <x:v>36.77</x:v>
      </x:c>
      <x:c r="J137" t="str">
        <x:v>CANCELLED</x:v>
      </x:c>
      <x:c r="K137" t="str">
        <x:v>Unique</x:v>
      </x:c>
      <x:c r="L137" t="str">
        <x:v>OK</x:v>
      </x:c>
    </x:row>
    <x:row r="138">
      <x:c r="A138" t="str">
        <x:v>ORD-1134</x:v>
      </x:c>
      <x:c r="B138" t="str">
        <x:v>Anna Ivanova</x:v>
      </x:c>
      <x:c r="C138" t="str">
        <x:v>anna.ivanova134@mail.com</x:v>
      </x:c>
      <x:c r="D138" t="str">
        <x:v>+3725379563</x:v>
      </x:c>
      <x:c r="E138" t="str">
        <x:v>Vilnius</x:v>
      </x:c>
      <x:c r="F138" s="38" t="n">
        <x:v>46093</x:v>
      </x:c>
      <x:c r="G138" t="str">
        <x:v>Water Bottle</x:v>
      </x:c>
      <x:c r="H138" t="str">
        <x:v>Sports</x:v>
      </x:c>
      <x:c r="I138" s="40" t="n">
        <x:v>52.76</x:v>
      </x:c>
      <x:c r="J138" t="str">
        <x:v>CANCELLED</x:v>
      </x:c>
      <x:c r="K138" t="str">
        <x:v>Unique</x:v>
      </x:c>
      <x:c r="L138" t="str">
        <x:v>OK</x:v>
      </x:c>
    </x:row>
    <x:row r="139">
      <x:c r="A139" t="str">
        <x:v>ORD-1135</x:v>
      </x:c>
      <x:c r="B139" t="str">
        <x:v>Maria Petrova</x:v>
      </x:c>
      <x:c r="C139" t="str">
        <x:v>maria.petrova135@mail.com</x:v>
      </x:c>
      <x:c r="D139" t="str">
        <x:v>+3725821337</x:v>
      </x:c>
      <x:c r="E139" t="str">
        <x:v>Vilnius</x:v>
      </x:c>
      <x:c r="F139" s="38" t="n">
        <x:v>46099</x:v>
      </x:c>
      <x:c r="G139" t="str">
        <x:v>USB-C Cable</x:v>
      </x:c>
      <x:c r="H139" t="str">
        <x:v>Electronics</x:v>
      </x:c>
      <x:c r="I139" s="40" t="n">
        <x:v>22.31</x:v>
      </x:c>
      <x:c r="J139" t="str">
        <x:v>PENDING</x:v>
      </x:c>
      <x:c r="K139" t="str">
        <x:v>Unique</x:v>
      </x:c>
      <x:c r="L139" t="str">
        <x:v>OK</x:v>
      </x:c>
    </x:row>
    <x:row r="140">
      <x:c r="A140" t="str">
        <x:v>ORD-1136</x:v>
      </x:c>
      <x:c r="B140" t="str">
        <x:v>Irina Popova</x:v>
      </x:c>
      <x:c r="C140" t="str">
        <x:v>irina.popova136@mail.com</x:v>
      </x:c>
      <x:c r="D140" t="str">
        <x:v>+3725511846</x:v>
      </x:c>
      <x:c r="E140" t="str">
        <x:v>Tartu</x:v>
      </x:c>
      <x:c r="F140" s="38" t="n">
        <x:v>46135</x:v>
      </x:c>
      <x:c r="G140" t="str">
        <x:v>Coffee Beans</x:v>
      </x:c>
      <x:c r="H140" t="str">
        <x:v>Food</x:v>
      </x:c>
      <x:c r="I140" s="40" t="n">
        <x:v>82.93</x:v>
      </x:c>
      <x:c r="J140" t="str">
        <x:v>REFUNDED</x:v>
      </x:c>
      <x:c r="K140" t="str">
        <x:v>Unique</x:v>
      </x:c>
      <x:c r="L140" t="str">
        <x:v>OK</x:v>
      </x:c>
    </x:row>
    <x:row r="141">
      <x:c r="A141" t="str">
        <x:v>ORD-1137</x:v>
      </x:c>
      <x:c r="B141" t="str">
        <x:v>Elena Smirnova</x:v>
      </x:c>
      <x:c r="C141" t="str">
        <x:v>elena.smirnova137@example.com</x:v>
      </x:c>
      <x:c r="D141" t="str">
        <x:v>+3725832928</x:v>
      </x:c>
      <x:c r="E141" t="str">
        <x:v>Tallinn</x:v>
      </x:c>
      <x:c r="F141" s="38" t="n">
        <x:v>46135</x:v>
      </x:c>
      <x:c r="G141" t="str">
        <x:v>USB-C Cable</x:v>
      </x:c>
      <x:c r="H141" t="str">
        <x:v>Electronics</x:v>
      </x:c>
      <x:c r="I141" s="40" t="n">
        <x:v>42.15</x:v>
      </x:c>
      <x:c r="J141" t="str">
        <x:v>PENDING</x:v>
      </x:c>
      <x:c r="K141" t="str">
        <x:v>Unique</x:v>
      </x:c>
      <x:c r="L141" t="str">
        <x:v>OK</x:v>
      </x:c>
    </x:row>
    <x:row r="142">
      <x:c r="A142" t="str">
        <x:v>ORD-1138</x:v>
      </x:c>
      <x:c r="B142" t="str">
        <x:v>Nina Volkova</x:v>
      </x:c>
      <x:c r="C142" t="str">
        <x:v>nina.volkova138@mail.com</x:v>
      </x:c>
      <x:c r="D142" t="str">
        <x:v>+3725807550</x:v>
      </x:c>
      <x:c r="E142" t="str">
        <x:v>Tallinn</x:v>
      </x:c>
      <x:c r="F142" s="38" t="n">
        <x:v>46146</x:v>
      </x:c>
      <x:c r="G142" t="str">
        <x:v>Water Bottle</x:v>
      </x:c>
      <x:c r="H142" t="str">
        <x:v>Sports</x:v>
      </x:c>
      <x:c r="I142" s="40" t="n">
        <x:v>71.89</x:v>
      </x:c>
      <x:c r="J142" t="str">
        <x:v>REFUNDED</x:v>
      </x:c>
      <x:c r="K142" t="str">
        <x:v>Unique</x:v>
      </x:c>
      <x:c r="L142" t="str">
        <x:v>OK</x:v>
      </x:c>
    </x:row>
    <x:row r="143">
      <x:c r="A143" t="str">
        <x:v>ORD-1139</x:v>
      </x:c>
      <x:c r="B143" t="str">
        <x:v>Maria Petrova</x:v>
      </x:c>
      <x:c r="C143" t="str">
        <x:v>maria.petrova139@gmail.com</x:v>
      </x:c>
      <x:c r="D143" t="str">
        <x:v>+3725821229</x:v>
      </x:c>
      <x:c r="E143" t="str">
        <x:v>Helsinki</x:v>
      </x:c>
      <x:c r="F143" s="38" t="n">
        <x:v>46102</x:v>
      </x:c>
      <x:c r="G143" t="str">
        <x:v>USB-C Cable</x:v>
      </x:c>
      <x:c r="H143" t="str">
        <x:v>Electronics</x:v>
      </x:c>
      <x:c r="I143" s="40" t="n">
        <x:v>22.63</x:v>
      </x:c>
      <x:c r="J143" t="str">
        <x:v>PAID</x:v>
      </x:c>
      <x:c r="K143" t="str">
        <x:v>Unique</x:v>
      </x:c>
      <x:c r="L143" t="str">
        <x:v>OK</x:v>
      </x:c>
    </x:row>
    <x:row r="144">
      <x:c r="A144" t="str">
        <x:v>ORD-1140</x:v>
      </x:c>
      <x:c r="B144" t="str">
        <x:v>Alina Fedorova</x:v>
      </x:c>
      <x:c r="C144" t="str">
        <x:v>alina.fedorova140@mail.com</x:v>
      </x:c>
      <x:c r="D144" t="str">
        <x:v>+3725846910</x:v>
      </x:c>
      <x:c r="E144" t="str">
        <x:v>Tartu</x:v>
      </x:c>
      <x:c r="F144" s="38" t="n">
        <x:v>46156</x:v>
      </x:c>
      <x:c r="G144" t="str">
        <x:v>Yoga Mat</x:v>
      </x:c>
      <x:c r="H144" t="str">
        <x:v>Sports</x:v>
      </x:c>
      <x:c r="I144" s="40" t="n">
        <x:v>63.77</x:v>
      </x:c>
      <x:c r="J144" t="str">
        <x:v>CANCELLED</x:v>
      </x:c>
      <x:c r="K144" t="str">
        <x:v>Unique</x:v>
      </x:c>
      <x:c r="L144" t="str">
        <x:v>OK</x:v>
      </x:c>
    </x:row>
    <x:row r="145">
      <x:c r="A145" t="str">
        <x:v>ORD-1141</x:v>
      </x:c>
      <x:c r="B145" t="str">
        <x:v>Kate Brown</x:v>
      </x:c>
      <x:c r="C145" t="str">
        <x:v>kate.brown141@example.com</x:v>
      </x:c>
      <x:c r="D145" t="str">
        <x:v>+3725608167</x:v>
      </x:c>
      <x:c r="E145" t="str">
        <x:v>Warsaw</x:v>
      </x:c>
      <x:c r="F145" s="38" t="n">
        <x:v>46062</x:v>
      </x:c>
      <x:c r="G145" t="str">
        <x:v>Wireless Mouse</x:v>
      </x:c>
      <x:c r="H145" t="str">
        <x:v>Electronics</x:v>
      </x:c>
      <x:c r="I145" s="40" t="n">
        <x:v>68.56</x:v>
      </x:c>
      <x:c r="J145" t="str">
        <x:v>PENDING</x:v>
      </x:c>
      <x:c r="K145" t="str">
        <x:v>Unique</x:v>
      </x:c>
      <x:c r="L145" t="str">
        <x:v>OK</x:v>
      </x:c>
    </x:row>
    <x:row r="146">
      <x:c r="A146" t="str">
        <x:v>ORD-1142</x:v>
      </x:c>
      <x:c r="B146" t="str">
        <x:v>Alina Fedorova</x:v>
      </x:c>
      <x:c r="C146" t="str">
        <x:v>alina.fedorova142@example.com</x:v>
      </x:c>
      <x:c r="D146" t="str">
        <x:v>+3725880280</x:v>
      </x:c>
      <x:c r="E146" t="str">
        <x:v>Warsaw</x:v>
      </x:c>
      <x:c r="F146" s="38" t="n">
        <x:v>46108</x:v>
      </x:c>
      <x:c r="G146" t="str">
        <x:v>Coffee Beans</x:v>
      </x:c>
      <x:c r="H146" t="str">
        <x:v>Food</x:v>
      </x:c>
      <x:c r="I146" s="40" t="n">
        <x:v>67.18</x:v>
      </x:c>
      <x:c r="J146" t="str">
        <x:v>PAID</x:v>
      </x:c>
      <x:c r="K146" t="str">
        <x:v>Unique</x:v>
      </x:c>
      <x:c r="L146" t="str">
        <x:v>OK</x:v>
      </x:c>
    </x:row>
    <x:row r="147">
      <x:c r="A147" t="str">
        <x:v>ORD-1143</x:v>
      </x:c>
      <x:c r="B147" t="str">
        <x:v>Maria Petrova</x:v>
      </x:c>
      <x:c r="C147" t="str">
        <x:v>maria.petrova143@example.com</x:v>
      </x:c>
      <x:c r="D147" t="str">
        <x:v>+3725713853</x:v>
      </x:c>
      <x:c r="E147" t="str">
        <x:v>Warsaw</x:v>
      </x:c>
      <x:c r="F147" s="38" t="n">
        <x:v>46102</x:v>
      </x:c>
      <x:c r="G147" t="str">
        <x:v>Notebook A5</x:v>
      </x:c>
      <x:c r="H147" t="str">
        <x:v>Office</x:v>
      </x:c>
      <x:c r="I147" s="40" t="n">
        <x:v>20.52</x:v>
      </x:c>
      <x:c r="J147" t="str">
        <x:v>PAID</x:v>
      </x:c>
      <x:c r="K147" t="str">
        <x:v>Unique</x:v>
      </x:c>
      <x:c r="L147" t="str">
        <x:v>OK</x:v>
      </x:c>
    </x:row>
    <x:row r="148">
      <x:c r="A148" t="str">
        <x:v>ORD-1144</x:v>
      </x:c>
      <x:c r="B148" t="str">
        <x:v>Elena Smirnova</x:v>
      </x:c>
      <x:c r="C148" t="str">
        <x:v>elena.smirnova144@example.com</x:v>
      </x:c>
      <x:c r="D148" t="str">
        <x:v>+3725565163</x:v>
      </x:c>
      <x:c r="E148" t="str">
        <x:v>Tartu</x:v>
      </x:c>
      <x:c r="F148" s="38" t="n">
        <x:v>46063</x:v>
      </x:c>
      <x:c r="G148" t="str">
        <x:v>Yoga Mat</x:v>
      </x:c>
      <x:c r="H148" t="str">
        <x:v>Sports</x:v>
      </x:c>
      <x:c r="I148" s="40" t="n">
        <x:v>52.39</x:v>
      </x:c>
      <x:c r="J148" t="str">
        <x:v>PAID</x:v>
      </x:c>
      <x:c r="K148" t="str">
        <x:v>Unique</x:v>
      </x:c>
      <x:c r="L148" t="str">
        <x:v>OK</x:v>
      </x:c>
    </x:row>
    <x:row r="149">
      <x:c r="A149" t="str">
        <x:v>ORD-1145</x:v>
      </x:c>
      <x:c r="B149" t="str">
        <x:v>Daria Kuznetsova</x:v>
      </x:c>
      <x:c r="C149" t="str">
        <x:v>daria.kuznetsova145@gmail.com</x:v>
      </x:c>
      <x:c r="D149" t="str">
        <x:v>+3725696302</x:v>
      </x:c>
      <x:c r="E149" t="str">
        <x:v>Vilnius</x:v>
      </x:c>
      <x:c r="F149" s="38" t="n">
        <x:v>46101</x:v>
      </x:c>
      <x:c r="G149" t="str">
        <x:v>Wireless Mouse</x:v>
      </x:c>
      <x:c r="H149" t="str">
        <x:v>Electronics</x:v>
      </x:c>
      <x:c r="I149" s="40" t="n">
        <x:v>141.24</x:v>
      </x:c>
      <x:c r="J149" t="str">
        <x:v>PAID</x:v>
      </x:c>
      <x:c r="K149" t="str">
        <x:v>Unique</x:v>
      </x:c>
      <x:c r="L149" t="str">
        <x:v>OK</x:v>
      </x:c>
    </x:row>
    <x:row r="150">
      <x:c r="A150" t="str">
        <x:v>ORD-1146</x:v>
      </x:c>
      <x:c r="B150" t="str">
        <x:v>Daria Kuznetsova</x:v>
      </x:c>
      <x:c r="C150" t="str">
        <x:v>daria.kuznetsova146@example.com</x:v>
      </x:c>
      <x:c r="D150" t="str">
        <x:v>+3725617750</x:v>
      </x:c>
      <x:c r="E150" t="str">
        <x:v>Riga</x:v>
      </x:c>
      <x:c r="F150" s="38" t="n">
        <x:v>46122</x:v>
      </x:c>
      <x:c r="G150" t="str">
        <x:v>Desk Lamp</x:v>
      </x:c>
      <x:c r="H150" t="str">
        <x:v>Home</x:v>
      </x:c>
      <x:c r="I150" s="40" t="n">
        <x:v>103.29</x:v>
      </x:c>
      <x:c r="J150" t="str">
        <x:v>CANCELLED</x:v>
      </x:c>
      <x:c r="K150" t="str">
        <x:v>Unique</x:v>
      </x:c>
      <x:c r="L150" t="str">
        <x:v>OK</x:v>
      </x:c>
    </x:row>
    <x:row r="151">
      <x:c r="A151" t="str">
        <x:v>ORD-1147</x:v>
      </x:c>
      <x:c r="B151" t="str">
        <x:v>Daria Kuznetsova</x:v>
      </x:c>
      <x:c r="C151" t="str">
        <x:v>daria.kuznetsova147@mail.com</x:v>
      </x:c>
      <x:c r="D151" t="str">
        <x:v>+3725875625</x:v>
      </x:c>
      <x:c r="E151" t="str">
        <x:v>Vilnius</x:v>
      </x:c>
      <x:c r="F151" s="38" t="n">
        <x:v>46130</x:v>
      </x:c>
      <x:c r="G151" t="str">
        <x:v>Coffee Beans</x:v>
      </x:c>
      <x:c r="H151" t="str">
        <x:v>Food</x:v>
      </x:c>
      <x:c r="I151" s="40" t="n">
        <x:v>43.63</x:v>
      </x:c>
      <x:c r="J151" t="str">
        <x:v>REFUNDED</x:v>
      </x:c>
      <x:c r="K151" t="str">
        <x:v>Unique</x:v>
      </x:c>
      <x:c r="L151" t="str">
        <x:v>OK</x:v>
      </x:c>
    </x:row>
    <x:row r="152">
      <x:c r="A152" t="str">
        <x:v>ORD-1148</x:v>
      </x:c>
      <x:c r="B152" t="str">
        <x:v>Elena Smirnova</x:v>
      </x:c>
      <x:c r="C152" t="str">
        <x:v>elena.smirnova148@gmail.com</x:v>
      </x:c>
      <x:c r="D152" t="str">
        <x:v>+3725568438</x:v>
      </x:c>
      <x:c r="E152" t="str">
        <x:v>Helsinki</x:v>
      </x:c>
      <x:c r="F152" s="38" t="n">
        <x:v>46086</x:v>
      </x:c>
      <x:c r="G152" t="str">
        <x:v>Wireless Mouse</x:v>
      </x:c>
      <x:c r="H152" t="str">
        <x:v>Electronics</x:v>
      </x:c>
      <x:c r="I152" s="40" t="n">
        <x:v>127.68</x:v>
      </x:c>
      <x:c r="J152" t="str">
        <x:v>PENDING</x:v>
      </x:c>
      <x:c r="K152" t="str">
        <x:v>Unique</x:v>
      </x:c>
      <x:c r="L152" t="str">
        <x:v>OK</x:v>
      </x:c>
    </x:row>
    <x:row r="153">
      <x:c r="A153" t="str">
        <x:v>ORD-1149</x:v>
      </x:c>
      <x:c r="B153" t="str">
        <x:v>Alina Fedorova</x:v>
      </x:c>
      <x:c r="C153" t="str">
        <x:v>alina.fedorova149@example.com</x:v>
      </x:c>
      <x:c r="D153" t="str">
        <x:v>+3725296776</x:v>
      </x:c>
      <x:c r="E153" t="str">
        <x:v>Vilnius</x:v>
      </x:c>
      <x:c r="F153" s="38" t="n">
        <x:v>46095</x:v>
      </x:c>
      <x:c r="G153" t="str">
        <x:v>USB-C Cable</x:v>
      </x:c>
      <x:c r="H153" t="str">
        <x:v>Electronics</x:v>
      </x:c>
      <x:c r="I153" s="40" t="n">
        <x:v>52.01</x:v>
      </x:c>
      <x:c r="J153" t="str">
        <x:v>PENDING</x:v>
      </x:c>
      <x:c r="K153" t="str">
        <x:v>Unique</x:v>
      </x:c>
      <x:c r="L153" t="str">
        <x:v>OK</x:v>
      </x:c>
    </x:row>
    <x:row r="154">
      <x:c r="A154" t="str">
        <x:v>ORD-1150</x:v>
      </x:c>
      <x:c r="B154" t="str">
        <x:v>Maria Petrova</x:v>
      </x:c>
      <x:c r="C154" t="str">
        <x:v>maria.petrova150@gmail.com</x:v>
      </x:c>
      <x:c r="D154" t="str">
        <x:v>+3725483321</x:v>
      </x:c>
      <x:c r="E154" t="str">
        <x:v>Tartu</x:v>
      </x:c>
      <x:c r="F154" s="38" t="n">
        <x:v>46044</x:v>
      </x:c>
      <x:c r="G154" t="str">
        <x:v>Desk Lamp</x:v>
      </x:c>
      <x:c r="H154" t="str">
        <x:v>Home</x:v>
      </x:c>
      <x:c r="I154" s="40" t="n">
        <x:v>159.33</x:v>
      </x:c>
      <x:c r="J154" t="str">
        <x:v>CANCELLED</x:v>
      </x:c>
      <x:c r="K154" t="str">
        <x:v>Unique</x:v>
      </x:c>
      <x:c r="L154" t="str">
        <x:v>OK</x:v>
      </x:c>
    </x:row>
    <x:row r="155">
      <x:c r="A155" t="str">
        <x:v>ORD-1151</x:v>
      </x:c>
      <x:c r="B155" t="str">
        <x:v>Nina Volkova</x:v>
      </x:c>
      <x:c r="C155" t="str">
        <x:v>nina.volkova151@example.com</x:v>
      </x:c>
      <x:c r="D155" t="str">
        <x:v>+3725504582</x:v>
      </x:c>
      <x:c r="E155" t="str">
        <x:v>Helsinki</x:v>
      </x:c>
      <x:c r="F155" s="38" t="n">
        <x:v>46089</x:v>
      </x:c>
      <x:c r="G155" t="str">
        <x:v>Yoga Mat</x:v>
      </x:c>
      <x:c r="H155" t="str">
        <x:v>Sports</x:v>
      </x:c>
      <x:c r="I155" s="40" t="n">
        <x:v>58.91</x:v>
      </x:c>
      <x:c r="J155" t="str">
        <x:v>PAID</x:v>
      </x:c>
      <x:c r="K155" t="str">
        <x:v>Unique</x:v>
      </x:c>
      <x:c r="L155" t="str">
        <x:v>OK</x:v>
      </x:c>
    </x:row>
    <x:row r="156">
      <x:c r="A156" t="str">
        <x:v>ORD-1152</x:v>
      </x:c>
      <x:c r="B156" t="str">
        <x:v>Maria Petrova</x:v>
      </x:c>
      <x:c r="C156" t="str">
        <x:v>maria.petrova152@example.com</x:v>
      </x:c>
      <x:c r="D156" t="str">
        <x:v>+3725278218</x:v>
      </x:c>
      <x:c r="E156" t="str">
        <x:v>Tartu</x:v>
      </x:c>
      <x:c r="F156" s="38" t="n">
        <x:v>46088</x:v>
      </x:c>
      <x:c r="G156" t="str">
        <x:v>Wireless Mouse</x:v>
      </x:c>
      <x:c r="H156" t="str">
        <x:v>Electronics</x:v>
      </x:c>
      <x:c r="I156" s="40" t="n">
        <x:v>106.83</x:v>
      </x:c>
      <x:c r="J156" t="str">
        <x:v>PAID</x:v>
      </x:c>
      <x:c r="K156" t="str">
        <x:v>Unique</x:v>
      </x:c>
      <x:c r="L156" t="str">
        <x:v>OK</x:v>
      </x:c>
    </x:row>
    <x:row r="157">
      <x:c r="A157" t="str">
        <x:v>ORD-1153</x:v>
      </x:c>
      <x:c r="B157" t="str">
        <x:v>Anna Ivanova</x:v>
      </x:c>
      <x:c r="C157" t="str">
        <x:v>anna.ivanova153@gmail.com</x:v>
      </x:c>
      <x:c r="D157" t="str">
        <x:v>+3725995903</x:v>
      </x:c>
      <x:c r="E157" t="str">
        <x:v>Tartu</x:v>
      </x:c>
      <x:c r="F157" s="38" t="n">
        <x:v>46100</x:v>
      </x:c>
      <x:c r="G157" t="str">
        <x:v>Water Bottle</x:v>
      </x:c>
      <x:c r="H157" t="str">
        <x:v>Sports</x:v>
      </x:c>
      <x:c r="I157" s="40" t="n">
        <x:v>84.94</x:v>
      </x:c>
      <x:c r="J157" t="str">
        <x:v>CANCELLED</x:v>
      </x:c>
      <x:c r="K157" t="str">
        <x:v>Unique</x:v>
      </x:c>
      <x:c r="L157" t="str">
        <x:v>OK</x:v>
      </x:c>
    </x:row>
    <x:row r="158">
      <x:c r="A158" t="str">
        <x:v>ORD-1154</x:v>
      </x:c>
      <x:c r="B158" t="str">
        <x:v>Olga Sokolova</x:v>
      </x:c>
      <x:c r="C158" t="str">
        <x:v>olga.sokolova154@example.com</x:v>
      </x:c>
      <x:c r="D158" t="str">
        <x:v>+3725817446</x:v>
      </x:c>
      <x:c r="E158" t="str">
        <x:v>Helsinki</x:v>
      </x:c>
      <x:c r="F158" s="38" t="n">
        <x:v>46099</x:v>
      </x:c>
      <x:c r="G158" t="str">
        <x:v>Notebook A5</x:v>
      </x:c>
      <x:c r="H158" t="str">
        <x:v>Office</x:v>
      </x:c>
      <x:c r="I158" s="40" t="n">
        <x:v>4.88</x:v>
      </x:c>
      <x:c r="J158" t="str">
        <x:v>CANCELLED</x:v>
      </x:c>
      <x:c r="K158" t="str">
        <x:v>Unique</x:v>
      </x:c>
      <x:c r="L158" t="str">
        <x:v>OK</x:v>
      </x:c>
    </x:row>
    <x:row r="159">
      <x:c r="A159" t="str">
        <x:v>ORD-1155</x:v>
      </x:c>
      <x:c r="B159" t="str">
        <x:v>Kate Brown</x:v>
      </x:c>
      <x:c r="C159" t="str">
        <x:v>kate.brown155@example.com</x:v>
      </x:c>
      <x:c r="D159" t="str">
        <x:v>+3725293577</x:v>
      </x:c>
      <x:c r="E159" t="str">
        <x:v>Riga</x:v>
      </x:c>
      <x:c r="F159" s="38" t="n">
        <x:v>46052</x:v>
      </x:c>
      <x:c r="G159" t="str">
        <x:v>Desk Lamp</x:v>
      </x:c>
      <x:c r="H159" t="str">
        <x:v>Home</x:v>
      </x:c>
      <x:c r="I159" s="40" t="n">
        <x:v>175.1</x:v>
      </x:c>
      <x:c r="J159" t="str">
        <x:v>REFUNDED</x:v>
      </x:c>
      <x:c r="K159" t="str">
        <x:v>Unique</x:v>
      </x:c>
      <x:c r="L159" t="str">
        <x:v>OK</x:v>
      </x:c>
    </x:row>
    <x:row r="160">
      <x:c r="A160" t="str">
        <x:v>ORD-1156</x:v>
      </x:c>
      <x:c r="B160" t="str">
        <x:v>Kate Brown</x:v>
      </x:c>
      <x:c r="C160" t="str">
        <x:v>kate.brown156@gmail.com</x:v>
      </x:c>
      <x:c r="D160" t="str">
        <x:v>+3725328109</x:v>
      </x:c>
      <x:c r="E160" t="str">
        <x:v>Tartu</x:v>
      </x:c>
      <x:c r="F160" s="38" t="n">
        <x:v>46167</x:v>
      </x:c>
      <x:c r="G160" t="str">
        <x:v>Premium Tea</x:v>
      </x:c>
      <x:c r="H160" t="str">
        <x:v>Food</x:v>
      </x:c>
      <x:c r="I160" s="40" t="n">
        <x:v>58.46</x:v>
      </x:c>
      <x:c r="J160" t="str">
        <x:v>PAID</x:v>
      </x:c>
      <x:c r="K160" t="str">
        <x:v>Unique</x:v>
      </x:c>
      <x:c r="L160" t="str">
        <x:v>OK</x:v>
      </x:c>
    </x:row>
    <x:row r="161">
      <x:c r="A161" t="str">
        <x:v>ORD-1157</x:v>
      </x:c>
      <x:c r="B161" t="str">
        <x:v>Maria Petrova</x:v>
      </x:c>
      <x:c r="C161" t="str">
        <x:v>maria.petrova157@mail.com</x:v>
      </x:c>
      <x:c r="D161" t="str">
        <x:v>+3725790112</x:v>
      </x:c>
      <x:c r="E161" t="str">
        <x:v>Tartu</x:v>
      </x:c>
      <x:c r="F161" s="38" t="n">
        <x:v>46049</x:v>
      </x:c>
      <x:c r="G161" t="str">
        <x:v>Coffee Beans</x:v>
      </x:c>
      <x:c r="H161" t="str">
        <x:v>Food</x:v>
      </x:c>
      <x:c r="I161" s="40" t="n">
        <x:v>66.91</x:v>
      </x:c>
      <x:c r="J161" t="str">
        <x:v>REFUNDED</x:v>
      </x:c>
      <x:c r="K161" t="str">
        <x:v>Unique</x:v>
      </x:c>
      <x:c r="L161" t="str">
        <x:v>OK</x:v>
      </x:c>
    </x:row>
    <x:row r="162">
      <x:c r="A162" t="str">
        <x:v>ORD-1158</x:v>
      </x:c>
      <x:c r="B162" t="str">
        <x:v>Daria Kuznetsova</x:v>
      </x:c>
      <x:c r="C162" t="str">
        <x:v>daria.kuznetsova158@example.com</x:v>
      </x:c>
      <x:c r="D162" t="str">
        <x:v>+3725206709</x:v>
      </x:c>
      <x:c r="E162" t="str">
        <x:v>Warsaw</x:v>
      </x:c>
      <x:c r="F162" s="38" t="n">
        <x:v>46140</x:v>
      </x:c>
      <x:c r="G162" t="str">
        <x:v>Wireless Mouse</x:v>
      </x:c>
      <x:c r="H162" t="str">
        <x:v>Electronics</x:v>
      </x:c>
      <x:c r="I162" s="40" t="n">
        <x:v>110.97</x:v>
      </x:c>
      <x:c r="J162" t="str">
        <x:v>PAID</x:v>
      </x:c>
      <x:c r="K162" t="str">
        <x:v>Unique</x:v>
      </x:c>
      <x:c r="L162" t="str">
        <x:v>OK</x:v>
      </x:c>
    </x:row>
    <x:row r="163">
      <x:c r="A163" t="str">
        <x:v>ORD-1159</x:v>
      </x:c>
      <x:c r="B163" t="str">
        <x:v>Sofia Morozova</x:v>
      </x:c>
      <x:c r="C163" t="str">
        <x:v>sofia.morozova159@gmail.com</x:v>
      </x:c>
      <x:c r="D163" t="str">
        <x:v>+3725838553</x:v>
      </x:c>
      <x:c r="E163" t="str">
        <x:v>Riga</x:v>
      </x:c>
      <x:c r="F163" s="38" t="n">
        <x:v>46048</x:v>
      </x:c>
      <x:c r="G163" t="str">
        <x:v>Water Bottle</x:v>
      </x:c>
      <x:c r="H163" t="str">
        <x:v>Sports</x:v>
      </x:c>
      <x:c r="I163" s="40" t="n">
        <x:v>19.38</x:v>
      </x:c>
      <x:c r="J163" t="str">
        <x:v>PENDING</x:v>
      </x:c>
      <x:c r="K163" t="str">
        <x:v>Unique</x:v>
      </x:c>
      <x:c r="L163" t="str">
        <x:v>OK</x:v>
      </x:c>
    </x:row>
    <x:row r="164">
      <x:c r="A164" t="str">
        <x:v>ORD-1160</x:v>
      </x:c>
      <x:c r="B164" t="str">
        <x:v>Sofia Morozova</x:v>
      </x:c>
      <x:c r="C164" t="str">
        <x:v>sofia.morozova160@gmail.com</x:v>
      </x:c>
      <x:c r="D164" t="str">
        <x:v>+3725746095</x:v>
      </x:c>
      <x:c r="E164" t="str">
        <x:v>Vilnius</x:v>
      </x:c>
      <x:c r="F164" s="38" t="n">
        <x:v>46092</x:v>
      </x:c>
      <x:c r="G164" t="str">
        <x:v>Premium Tea</x:v>
      </x:c>
      <x:c r="H164" t="str">
        <x:v>Food</x:v>
      </x:c>
      <x:c r="I164" s="40" t="n">
        <x:v>30.64</x:v>
      </x:c>
      <x:c r="J164" t="str">
        <x:v>CANCELLED</x:v>
      </x:c>
      <x:c r="K164" t="str">
        <x:v>Unique</x:v>
      </x:c>
      <x:c r="L164" t="str">
        <x:v>OK</x:v>
      </x:c>
    </x:row>
    <x:row r="165">
      <x:c r="A165" t="str">
        <x:v>ORD-1161</x:v>
      </x:c>
      <x:c r="B165" t="str">
        <x:v>Sofia Morozova</x:v>
      </x:c>
      <x:c r="C165" t="str">
        <x:v>sofia.morozova161@example.com</x:v>
      </x:c>
      <x:c r="D165" t="str">
        <x:v>+3725220524</x:v>
      </x:c>
      <x:c r="E165" t="str">
        <x:v>Riga</x:v>
      </x:c>
      <x:c r="F165" s="38" t="n">
        <x:v>46145</x:v>
      </x:c>
      <x:c r="G165" t="str">
        <x:v>Notebook A5</x:v>
      </x:c>
      <x:c r="H165" t="str">
        <x:v>Office</x:v>
      </x:c>
      <x:c r="I165" s="40" t="n">
        <x:v>22.37</x:v>
      </x:c>
      <x:c r="J165" t="str">
        <x:v>PAID</x:v>
      </x:c>
      <x:c r="K165" t="str">
        <x:v>Unique</x:v>
      </x:c>
      <x:c r="L165" t="str">
        <x:v>OK</x:v>
      </x:c>
    </x:row>
    <x:row r="166">
      <x:c r="A166" t="str">
        <x:v>ORD-1162</x:v>
      </x:c>
      <x:c r="B166" t="str">
        <x:v>Sofia Morozova</x:v>
      </x:c>
      <x:c r="C166" t="str">
        <x:v>sofia.morozova162@example.com</x:v>
      </x:c>
      <x:c r="D166" t="str">
        <x:v>+3725934029</x:v>
      </x:c>
      <x:c r="E166" t="str">
        <x:v>Tartu</x:v>
      </x:c>
      <x:c r="F166" s="38" t="n">
        <x:v>46027</x:v>
      </x:c>
      <x:c r="G166" t="str">
        <x:v>Desk Lamp</x:v>
      </x:c>
      <x:c r="H166" t="str">
        <x:v>Home</x:v>
      </x:c>
      <x:c r="I166" s="40" t="n">
        <x:v>146.86</x:v>
      </x:c>
      <x:c r="J166" t="str">
        <x:v>CANCELLED</x:v>
      </x:c>
      <x:c r="K166" t="str">
        <x:v>Unique</x:v>
      </x:c>
      <x:c r="L166" t="str">
        <x:v>OK</x:v>
      </x:c>
    </x:row>
    <x:row r="167">
      <x:c r="A167" t="str">
        <x:v>ORD-1163</x:v>
      </x:c>
      <x:c r="B167" t="str">
        <x:v>Olga Sokolova</x:v>
      </x:c>
      <x:c r="C167" t="str">
        <x:v>olga.sokolova163@gmail.com</x:v>
      </x:c>
      <x:c r="D167" t="str">
        <x:v>+3725792715</x:v>
      </x:c>
      <x:c r="E167" t="str">
        <x:v>Tartu</x:v>
      </x:c>
      <x:c r="F167" s="38" t="n">
        <x:v>46127</x:v>
      </x:c>
      <x:c r="G167" t="str">
        <x:v>Desk Lamp</x:v>
      </x:c>
      <x:c r="H167" t="str">
        <x:v>Home</x:v>
      </x:c>
      <x:c r="I167" s="40" t="n">
        <x:v>33.18</x:v>
      </x:c>
      <x:c r="J167" t="str">
        <x:v>REFUNDED</x:v>
      </x:c>
      <x:c r="K167" t="str">
        <x:v>Unique</x:v>
      </x:c>
      <x:c r="L167" t="str">
        <x:v>OK</x:v>
      </x:c>
    </x:row>
    <x:row r="168">
      <x:c r="A168" t="str">
        <x:v>ORD-1164</x:v>
      </x:c>
      <x:c r="B168" t="str">
        <x:v>Anna Ivanova</x:v>
      </x:c>
      <x:c r="C168" t="str">
        <x:v>anna.ivanova164@example.com</x:v>
      </x:c>
      <x:c r="D168" t="str">
        <x:v>+3725161538</x:v>
      </x:c>
      <x:c r="E168" t="str">
        <x:v>Tartu</x:v>
      </x:c>
      <x:c r="F168" s="38" t="n">
        <x:v>46040</x:v>
      </x:c>
      <x:c r="G168" t="str">
        <x:v>Water Bottle</x:v>
      </x:c>
      <x:c r="H168" t="str">
        <x:v>Sports</x:v>
      </x:c>
      <x:c r="I168" s="40" t="n">
        <x:v>74.51</x:v>
      </x:c>
      <x:c r="J168" t="str">
        <x:v>CANCELLED</x:v>
      </x:c>
      <x:c r="K168" t="str">
        <x:v>Unique</x:v>
      </x:c>
      <x:c r="L168" t="str">
        <x:v>OK</x:v>
      </x:c>
    </x:row>
    <x:row r="169">
      <x:c r="A169" t="str">
        <x:v>ORD-1165</x:v>
      </x:c>
      <x:c r="B169" t="str">
        <x:v>Sofia Morozova</x:v>
      </x:c>
      <x:c r="C169" t="str">
        <x:v>sofia.morozova165@gmail.com</x:v>
      </x:c>
      <x:c r="D169" t="str">
        <x:v>+3725889460</x:v>
      </x:c>
      <x:c r="E169" t="str">
        <x:v>Tallinn</x:v>
      </x:c>
      <x:c r="F169" s="38" t="n">
        <x:v>46039</x:v>
      </x:c>
      <x:c r="G169" t="str">
        <x:v>Notebook A5</x:v>
      </x:c>
      <x:c r="H169" t="str">
        <x:v>Office</x:v>
      </x:c>
      <x:c r="I169" s="40" t="n">
        <x:v>5.08</x:v>
      </x:c>
      <x:c r="J169" t="str">
        <x:v>PAID</x:v>
      </x:c>
      <x:c r="K169" t="str">
        <x:v>Unique</x:v>
      </x:c>
      <x:c r="L169" t="str">
        <x:v>OK</x:v>
      </x:c>
    </x:row>
    <x:row r="170">
      <x:c r="A170" t="str">
        <x:v>ORD-1166</x:v>
      </x:c>
      <x:c r="B170" t="str">
        <x:v>Kate Brown</x:v>
      </x:c>
      <x:c r="C170" t="str">
        <x:v>kate.brown166@example.com</x:v>
      </x:c>
      <x:c r="D170" t="str">
        <x:v>+3725669174</x:v>
      </x:c>
      <x:c r="E170" t="str">
        <x:v>Riga</x:v>
      </x:c>
      <x:c r="F170" s="38" t="n">
        <x:v>46106</x:v>
      </x:c>
      <x:c r="G170" t="str">
        <x:v>Water Bottle</x:v>
      </x:c>
      <x:c r="H170" t="str">
        <x:v>Sports</x:v>
      </x:c>
      <x:c r="I170" s="40" t="n">
        <x:v>57.83</x:v>
      </x:c>
      <x:c r="J170" t="str">
        <x:v>PAID</x:v>
      </x:c>
      <x:c r="K170" t="str">
        <x:v>Unique</x:v>
      </x:c>
      <x:c r="L170" t="str">
        <x:v>OK</x:v>
      </x:c>
    </x:row>
    <x:row r="171">
      <x:c r="A171" t="str">
        <x:v>ORD-1167</x:v>
      </x:c>
      <x:c r="B171" t="str">
        <x:v>Kate Brown</x:v>
      </x:c>
      <x:c r="C171" t="str">
        <x:v>kate.brown167@mail.com</x:v>
      </x:c>
      <x:c r="D171" t="str">
        <x:v>+3725797858</x:v>
      </x:c>
      <x:c r="E171" t="str">
        <x:v>Vilnius</x:v>
      </x:c>
      <x:c r="F171" s="38" t="n">
        <x:v>46079</x:v>
      </x:c>
      <x:c r="G171" t="str">
        <x:v>Yoga Mat</x:v>
      </x:c>
      <x:c r="H171" t="str">
        <x:v>Sports</x:v>
      </x:c>
      <x:c r="I171" s="40" t="n">
        <x:v>105.75</x:v>
      </x:c>
      <x:c r="J171" t="str">
        <x:v>PAID</x:v>
      </x:c>
      <x:c r="K171" t="str">
        <x:v>Unique</x:v>
      </x:c>
      <x:c r="L171" t="str">
        <x:v>OK</x:v>
      </x:c>
    </x:row>
    <x:row r="172">
      <x:c r="A172" t="str">
        <x:v>ORD-1168</x:v>
      </x:c>
      <x:c r="B172" t="str">
        <x:v>Olga Sokolova</x:v>
      </x:c>
      <x:c r="C172" t="str">
        <x:v>olga.sokolova168@example.com</x:v>
      </x:c>
      <x:c r="D172" t="str">
        <x:v>+3725522249</x:v>
      </x:c>
      <x:c r="E172" t="str">
        <x:v>Helsinki</x:v>
      </x:c>
      <x:c r="F172" s="38" t="n">
        <x:v>46071</x:v>
      </x:c>
      <x:c r="G172" t="str">
        <x:v>USB-C Cable</x:v>
      </x:c>
      <x:c r="H172" t="str">
        <x:v>Electronics</x:v>
      </x:c>
      <x:c r="I172" s="40" t="n">
        <x:v>35.91</x:v>
      </x:c>
      <x:c r="J172" t="str">
        <x:v>CANCELLED</x:v>
      </x:c>
      <x:c r="K172" t="str">
        <x:v>Unique</x:v>
      </x:c>
      <x:c r="L172" t="str">
        <x:v>OK</x:v>
      </x:c>
    </x:row>
    <x:row r="173">
      <x:c r="A173" t="str">
        <x:v>ORD-1169</x:v>
      </x:c>
      <x:c r="B173" t="str">
        <x:v>Irina Popova</x:v>
      </x:c>
      <x:c r="C173" t="str">
        <x:v>irina.popova169@example.com</x:v>
      </x:c>
      <x:c r="D173" t="str">
        <x:v>+3725583371</x:v>
      </x:c>
      <x:c r="E173" t="str">
        <x:v>Tallinn</x:v>
      </x:c>
      <x:c r="F173" s="38" t="n">
        <x:v>46040</x:v>
      </x:c>
      <x:c r="G173" t="str">
        <x:v>Premium Tea</x:v>
      </x:c>
      <x:c r="H173" t="str">
        <x:v>Food</x:v>
      </x:c>
      <x:c r="I173" s="40" t="n">
        <x:v>50.77</x:v>
      </x:c>
      <x:c r="J173" t="str">
        <x:v>REFUNDED</x:v>
      </x:c>
      <x:c r="K173" t="str">
        <x:v>Unique</x:v>
      </x:c>
      <x:c r="L173" t="str">
        <x:v>OK</x:v>
      </x:c>
    </x:row>
    <x:row r="174">
      <x:c r="A174" t="str">
        <x:v>ORD-1170</x:v>
      </x:c>
      <x:c r="B174" t="str">
        <x:v>Daria Kuznetsova</x:v>
      </x:c>
      <x:c r="C174" t="str">
        <x:v>daria.kuznetsova170@gmail.com</x:v>
      </x:c>
      <x:c r="D174" t="str">
        <x:v>+3725893112</x:v>
      </x:c>
      <x:c r="E174" t="str">
        <x:v>Warsaw</x:v>
      </x:c>
      <x:c r="F174" s="38" t="n">
        <x:v>46106</x:v>
      </x:c>
      <x:c r="G174" t="str">
        <x:v>Coffee Beans</x:v>
      </x:c>
      <x:c r="H174" t="str">
        <x:v>Food</x:v>
      </x:c>
      <x:c r="I174" s="40" t="n">
        <x:v>61.72</x:v>
      </x:c>
      <x:c r="J174" t="str">
        <x:v>PENDING</x:v>
      </x:c>
      <x:c r="K174" t="str">
        <x:v>Unique</x:v>
      </x:c>
      <x:c r="L174" t="str">
        <x:v>OK</x:v>
      </x:c>
    </x:row>
    <x:row r="175">
      <x:c r="A175" t="str">
        <x:v>ORD-1171</x:v>
      </x:c>
      <x:c r="B175" t="str">
        <x:v>Alina Fedorova</x:v>
      </x:c>
      <x:c r="C175" t="str">
        <x:v>alina.fedorova171@example.com</x:v>
      </x:c>
      <x:c r="D175" t="str">
        <x:v>+3725799561</x:v>
      </x:c>
      <x:c r="E175" t="str">
        <x:v>Vilnius</x:v>
      </x:c>
      <x:c r="F175" s="38" t="n">
        <x:v>46167</x:v>
      </x:c>
      <x:c r="G175" t="str">
        <x:v>Notebook A5</x:v>
      </x:c>
      <x:c r="H175" t="str">
        <x:v>Office</x:v>
      </x:c>
      <x:c r="I175" s="40" t="n">
        <x:v>18.45</x:v>
      </x:c>
      <x:c r="J175" t="str">
        <x:v>PAID</x:v>
      </x:c>
      <x:c r="K175" t="str">
        <x:v>Unique</x:v>
      </x:c>
      <x:c r="L175" t="str">
        <x:v>OK</x:v>
      </x:c>
    </x:row>
    <x:row r="176">
      <x:c r="A176" t="str">
        <x:v>ORD-1172</x:v>
      </x:c>
      <x:c r="B176" t="str">
        <x:v>Elena Smirnova</x:v>
      </x:c>
      <x:c r="C176" t="str">
        <x:v>elena.smirnova172@mail.com</x:v>
      </x:c>
      <x:c r="D176" t="str">
        <x:v>+3725135722</x:v>
      </x:c>
      <x:c r="E176" t="str">
        <x:v>Riga</x:v>
      </x:c>
      <x:c r="F176" s="38" t="n">
        <x:v>46038</x:v>
      </x:c>
      <x:c r="G176" t="str">
        <x:v>Coffee Beans</x:v>
      </x:c>
      <x:c r="H176" t="str">
        <x:v>Food</x:v>
      </x:c>
      <x:c r="I176" s="40" t="n">
        <x:v>42.04</x:v>
      </x:c>
      <x:c r="J176" t="str">
        <x:v>CANCELLED</x:v>
      </x:c>
      <x:c r="K176" t="str">
        <x:v>Unique</x:v>
      </x:c>
      <x:c r="L176" t="str">
        <x:v>OK</x:v>
      </x:c>
    </x:row>
    <x:row r="177">
      <x:c r="A177" t="str">
        <x:v>ORD-1173</x:v>
      </x:c>
      <x:c r="B177" t="str">
        <x:v>Elena Smirnova</x:v>
      </x:c>
      <x:c r="C177" t="str">
        <x:v>elena.smirnova173@example.com</x:v>
      </x:c>
      <x:c r="D177" t="str">
        <x:v>+3725333800</x:v>
      </x:c>
      <x:c r="E177" t="str">
        <x:v>Vilnius</x:v>
      </x:c>
      <x:c r="F177" s="38" t="n">
        <x:v>46158</x:v>
      </x:c>
      <x:c r="G177" t="str">
        <x:v>Coffee Beans</x:v>
      </x:c>
      <x:c r="H177" t="str">
        <x:v>Food</x:v>
      </x:c>
      <x:c r="I177" s="40" t="n">
        <x:v>75.14</x:v>
      </x:c>
      <x:c r="J177" t="str">
        <x:v>CANCELLED</x:v>
      </x:c>
      <x:c r="K177" t="str">
        <x:v>Unique</x:v>
      </x:c>
      <x:c r="L177" t="str">
        <x:v>OK</x:v>
      </x:c>
    </x:row>
    <x:row r="178">
      <x:c r="A178" t="str">
        <x:v>ORD-1174</x:v>
      </x:c>
      <x:c r="B178" t="str">
        <x:v>Sofia Morozova</x:v>
      </x:c>
      <x:c r="C178" t="str">
        <x:v>sofia.morozova174@example.com</x:v>
      </x:c>
      <x:c r="D178" t="str">
        <x:v>+3725313705</x:v>
      </x:c>
      <x:c r="E178" t="str">
        <x:v>Vilnius</x:v>
      </x:c>
      <x:c r="F178" s="38" t="n">
        <x:v>46075</x:v>
      </x:c>
      <x:c r="G178" t="str">
        <x:v>Premium Tea</x:v>
      </x:c>
      <x:c r="H178" t="str">
        <x:v>Food</x:v>
      </x:c>
      <x:c r="I178" s="40" t="n">
        <x:v>10.3</x:v>
      </x:c>
      <x:c r="J178" t="str">
        <x:v>REFUNDED</x:v>
      </x:c>
      <x:c r="K178" t="str">
        <x:v>Unique</x:v>
      </x:c>
      <x:c r="L178" t="str">
        <x:v>OK</x:v>
      </x:c>
    </x:row>
    <x:row r="179">
      <x:c r="A179" t="str">
        <x:v>ORD-1175</x:v>
      </x:c>
      <x:c r="B179" t="str">
        <x:v>Alina Fedorova</x:v>
      </x:c>
      <x:c r="C179" t="str">
        <x:v>alina.fedorova175@gmail.com</x:v>
      </x:c>
      <x:c r="D179" t="str">
        <x:v>+3725836920</x:v>
      </x:c>
      <x:c r="E179" t="str">
        <x:v>Riga</x:v>
      </x:c>
      <x:c r="F179" s="38" t="n">
        <x:v>46070</x:v>
      </x:c>
      <x:c r="G179" t="str">
        <x:v>Premium Tea</x:v>
      </x:c>
      <x:c r="H179" t="str">
        <x:v>Food</x:v>
      </x:c>
      <x:c r="I179" s="40" t="n">
        <x:v>32.3</x:v>
      </x:c>
      <x:c r="J179" t="str">
        <x:v>PAID</x:v>
      </x:c>
      <x:c r="K179" t="str">
        <x:v>Unique</x:v>
      </x:c>
      <x:c r="L179" t="str">
        <x:v>OK</x:v>
      </x:c>
    </x:row>
    <x:row r="180">
      <x:c r="A180" t="str">
        <x:v>ORD-1176</x:v>
      </x:c>
      <x:c r="B180" t="str">
        <x:v>Nina Volkova</x:v>
      </x:c>
      <x:c r="C180" t="str">
        <x:v>nina.volkova176@example.com</x:v>
      </x:c>
      <x:c r="D180" t="str">
        <x:v>+3725384136</x:v>
      </x:c>
      <x:c r="E180" t="str">
        <x:v>Tallinn</x:v>
      </x:c>
      <x:c r="F180" s="38" t="n">
        <x:v>46028</x:v>
      </x:c>
      <x:c r="G180" t="str">
        <x:v>Water Bottle</x:v>
      </x:c>
      <x:c r="H180" t="str">
        <x:v>Sports</x:v>
      </x:c>
      <x:c r="I180" s="40" t="n">
        <x:v>37.2</x:v>
      </x:c>
      <x:c r="J180" t="str">
        <x:v>REFUNDED</x:v>
      </x:c>
      <x:c r="K180" t="str">
        <x:v>Unique</x:v>
      </x:c>
      <x:c r="L180" t="str">
        <x:v>OK</x:v>
      </x:c>
    </x:row>
    <x:row r="181">
      <x:c r="A181" t="str">
        <x:v>ORD-1177</x:v>
      </x:c>
      <x:c r="B181" t="str">
        <x:v>Daria Kuznetsova</x:v>
      </x:c>
      <x:c r="C181" t="str">
        <x:v>daria.kuznetsova177@example.com</x:v>
      </x:c>
      <x:c r="D181" t="str">
        <x:v>+3725609150</x:v>
      </x:c>
      <x:c r="E181" t="str">
        <x:v>Warsaw</x:v>
      </x:c>
      <x:c r="F181" s="38" t="n">
        <x:v>46051</x:v>
      </x:c>
      <x:c r="G181" t="str">
        <x:v>USB-C Cable</x:v>
      </x:c>
      <x:c r="H181" t="str">
        <x:v>Electronics</x:v>
      </x:c>
      <x:c r="I181" s="40" t="n">
        <x:v>31.41</x:v>
      </x:c>
      <x:c r="J181" t="str">
        <x:v>PAID</x:v>
      </x:c>
      <x:c r="K181" t="str">
        <x:v>Unique</x:v>
      </x:c>
      <x:c r="L181" t="str">
        <x:v>OK</x:v>
      </x:c>
    </x:row>
    <x:row r="182">
      <x:c r="A182" t="str">
        <x:v>ORD-1178</x:v>
      </x:c>
      <x:c r="B182" t="str">
        <x:v>Elena Smirnova</x:v>
      </x:c>
      <x:c r="C182" t="str">
        <x:v>elena.smirnova178@gmail.com</x:v>
      </x:c>
      <x:c r="D182" t="str">
        <x:v>+3725975647</x:v>
      </x:c>
      <x:c r="E182" t="str">
        <x:v>Warsaw</x:v>
      </x:c>
      <x:c r="F182" s="38" t="n">
        <x:v>46154</x:v>
      </x:c>
      <x:c r="G182" t="str">
        <x:v>Notebook A5</x:v>
      </x:c>
      <x:c r="H182" t="str">
        <x:v>Office</x:v>
      </x:c>
      <x:c r="I182" s="40" t="n">
        <x:v>24.93</x:v>
      </x:c>
      <x:c r="J182" t="str">
        <x:v>PAID</x:v>
      </x:c>
      <x:c r="K182" t="str">
        <x:v>Unique</x:v>
      </x:c>
      <x:c r="L182" t="str">
        <x:v>OK</x:v>
      </x:c>
    </x:row>
    <x:row r="183">
      <x:c r="A183" t="str">
        <x:v>ORD-1179</x:v>
      </x:c>
      <x:c r="B183" t="str">
        <x:v>Elena Smirnova</x:v>
      </x:c>
      <x:c r="C183" t="str">
        <x:v>elena.smirnova179@example.com</x:v>
      </x:c>
      <x:c r="D183" t="str">
        <x:v>+3725119134</x:v>
      </x:c>
      <x:c r="E183" t="str">
        <x:v>Warsaw</x:v>
      </x:c>
      <x:c r="F183" s="38" t="n">
        <x:v>46118</x:v>
      </x:c>
      <x:c r="G183" t="str">
        <x:v>Notebook A5</x:v>
      </x:c>
      <x:c r="H183" t="str">
        <x:v>Office</x:v>
      </x:c>
      <x:c r="I183" s="40" t="n">
        <x:v>9.3</x:v>
      </x:c>
      <x:c r="J183" t="str">
        <x:v>REFUNDED</x:v>
      </x:c>
      <x:c r="K183" t="str">
        <x:v>Unique</x:v>
      </x:c>
      <x:c r="L183" t="str">
        <x:v>OK</x:v>
      </x:c>
    </x:row>
    <x:row r="184">
      <x:c r="A184" t="str">
        <x:v>ORD-1180</x:v>
      </x:c>
      <x:c r="B184" t="str">
        <x:v>Elena Smirnova</x:v>
      </x:c>
      <x:c r="C184" t="str">
        <x:v>elena.smirnova180@example.com</x:v>
      </x:c>
      <x:c r="D184" t="str">
        <x:v>+3725201057</x:v>
      </x:c>
      <x:c r="E184" t="str">
        <x:v>Riga</x:v>
      </x:c>
      <x:c r="F184" s="38" t="n">
        <x:v>46068</x:v>
      </x:c>
      <x:c r="G184" t="str">
        <x:v>Notebook A5</x:v>
      </x:c>
      <x:c r="H184" t="str">
        <x:v>Office</x:v>
      </x:c>
      <x:c r="I184" s="40" t="n">
        <x:v>18.56</x:v>
      </x:c>
      <x:c r="J184" t="str">
        <x:v>REFUNDED</x:v>
      </x:c>
      <x:c r="K184" t="str">
        <x:v>Unique</x:v>
      </x:c>
      <x:c r="L184" t="str">
        <x:v>OK</x:v>
      </x:c>
    </x:row>
    <x:row r="185">
      <x:c r="A185" t="str">
        <x:v>ORD-1181</x:v>
      </x:c>
      <x:c r="B185" t="str">
        <x:v>Alina Fedorova</x:v>
      </x:c>
      <x:c r="C185" t="str">
        <x:v>alina.fedorova181@example.com</x:v>
      </x:c>
      <x:c r="D185" t="str">
        <x:v>+3725996706</x:v>
      </x:c>
      <x:c r="E185" t="str">
        <x:v>Tartu</x:v>
      </x:c>
      <x:c r="F185" s="38" t="n">
        <x:v>46160</x:v>
      </x:c>
      <x:c r="G185" t="str">
        <x:v>Yoga Mat</x:v>
      </x:c>
      <x:c r="H185" t="str">
        <x:v>Sports</x:v>
      </x:c>
      <x:c r="I185" s="40" t="n">
        <x:v>148.89</x:v>
      </x:c>
      <x:c r="J185" t="str">
        <x:v>PENDING</x:v>
      </x:c>
      <x:c r="K185" t="str">
        <x:v>Unique</x:v>
      </x:c>
      <x:c r="L185" t="str">
        <x:v>OK</x:v>
      </x:c>
    </x:row>
    <x:row r="186">
      <x:c r="A186" t="str">
        <x:v>ORD-1182</x:v>
      </x:c>
      <x:c r="B186" t="str">
        <x:v>Sofia Morozova</x:v>
      </x:c>
      <x:c r="C186" t="str">
        <x:v>sofia.morozova182@mail.com</x:v>
      </x:c>
      <x:c r="D186" t="str">
        <x:v>+3725811971</x:v>
      </x:c>
      <x:c r="E186" t="str">
        <x:v>Helsinki</x:v>
      </x:c>
      <x:c r="F186" s="38" t="n">
        <x:v>46034</x:v>
      </x:c>
      <x:c r="G186" t="str">
        <x:v>Water Bottle</x:v>
      </x:c>
      <x:c r="H186" t="str">
        <x:v>Sports</x:v>
      </x:c>
      <x:c r="I186" s="40" t="n">
        <x:v>73.79</x:v>
      </x:c>
      <x:c r="J186" t="str">
        <x:v>CANCELLED</x:v>
      </x:c>
      <x:c r="K186" t="str">
        <x:v>Unique</x:v>
      </x:c>
      <x:c r="L186" t="str">
        <x:v>OK</x:v>
      </x:c>
    </x:row>
    <x:row r="187">
      <x:c r="A187" t="str">
        <x:v>ORD-1183</x:v>
      </x:c>
      <x:c r="B187" t="str">
        <x:v>Kate Brown</x:v>
      </x:c>
      <x:c r="C187" t="str">
        <x:v>kate.brown183@example.com</x:v>
      </x:c>
      <x:c r="D187" t="str">
        <x:v>+3725738632</x:v>
      </x:c>
      <x:c r="E187" t="str">
        <x:v>Warsaw</x:v>
      </x:c>
      <x:c r="F187" s="38" t="n">
        <x:v>46035</x:v>
      </x:c>
      <x:c r="G187" t="str">
        <x:v>Water Bottle</x:v>
      </x:c>
      <x:c r="H187" t="str">
        <x:v>Sports</x:v>
      </x:c>
      <x:c r="I187" s="40" t="n">
        <x:v>65.76</x:v>
      </x:c>
      <x:c r="J187" t="str">
        <x:v>PENDING</x:v>
      </x:c>
      <x:c r="K187" t="str">
        <x:v>Unique</x:v>
      </x:c>
      <x:c r="L187" t="str">
        <x:v>OK</x:v>
      </x:c>
    </x:row>
    <x:row r="188">
      <x:c r="A188" t="str">
        <x:v>ORD-1184</x:v>
      </x:c>
      <x:c r="B188" t="str">
        <x:v>Irina Popova</x:v>
      </x:c>
      <x:c r="C188" t="str">
        <x:v>irina.popova184@gmail.com</x:v>
      </x:c>
      <x:c r="D188" t="str">
        <x:v>+3725497043</x:v>
      </x:c>
      <x:c r="E188" t="str">
        <x:v>Tartu</x:v>
      </x:c>
      <x:c r="F188" s="38" t="n">
        <x:v>46054</x:v>
      </x:c>
      <x:c r="G188" t="str">
        <x:v>USB-C Cable</x:v>
      </x:c>
      <x:c r="H188" t="str">
        <x:v>Electronics</x:v>
      </x:c>
      <x:c r="I188" s="40" t="n">
        <x:v>45.76</x:v>
      </x:c>
      <x:c r="J188" t="str">
        <x:v>PAID</x:v>
      </x:c>
      <x:c r="K188" t="str">
        <x:v>Unique</x:v>
      </x:c>
      <x:c r="L188" t="str">
        <x:v>OK</x:v>
      </x:c>
    </x:row>
    <x:row r="189">
      <x:c r="A189" t="str">
        <x:v>ORD-1185</x:v>
      </x:c>
      <x:c r="B189" t="str">
        <x:v>Maria Petrova</x:v>
      </x:c>
      <x:c r="C189" t="str">
        <x:v>maria.petrova185@example.com</x:v>
      </x:c>
      <x:c r="D189" t="str">
        <x:v>+3725502463</x:v>
      </x:c>
      <x:c r="E189" t="str">
        <x:v>Helsinki</x:v>
      </x:c>
      <x:c r="F189" s="38" t="n">
        <x:v>46082</x:v>
      </x:c>
      <x:c r="G189" t="str">
        <x:v>Coffee Beans</x:v>
      </x:c>
      <x:c r="H189" t="str">
        <x:v>Food</x:v>
      </x:c>
      <x:c r="I189" s="40" t="n">
        <x:v>13.55</x:v>
      </x:c>
      <x:c r="J189" t="str">
        <x:v>PAID</x:v>
      </x:c>
      <x:c r="K189" t="str">
        <x:v>Unique</x:v>
      </x:c>
      <x:c r="L189" t="str">
        <x:v>OK</x:v>
      </x:c>
    </x:row>
    <x:row r="190">
      <x:c r="A190" t="str">
        <x:v>ORD-1186</x:v>
      </x:c>
      <x:c r="B190" t="str">
        <x:v>Sofia Morozova</x:v>
      </x:c>
      <x:c r="C190" t="str">
        <x:v>sofia.morozova186@mail.com</x:v>
      </x:c>
      <x:c r="D190" t="str">
        <x:v>+3725800735</x:v>
      </x:c>
      <x:c r="E190" t="str">
        <x:v>Helsinki</x:v>
      </x:c>
      <x:c r="F190" s="38" t="n">
        <x:v>46159</x:v>
      </x:c>
      <x:c r="G190" t="str">
        <x:v>Yoga Mat</x:v>
      </x:c>
      <x:c r="H190" t="str">
        <x:v>Sports</x:v>
      </x:c>
      <x:c r="I190" s="40" t="n">
        <x:v>29.22</x:v>
      </x:c>
      <x:c r="J190" t="str">
        <x:v>CANCELLED</x:v>
      </x:c>
      <x:c r="K190" t="str">
        <x:v>Unique</x:v>
      </x:c>
      <x:c r="L190" t="str">
        <x:v>OK</x:v>
      </x:c>
    </x:row>
    <x:row r="191">
      <x:c r="A191" t="str">
        <x:v>ORD-1187</x:v>
      </x:c>
      <x:c r="B191" t="str">
        <x:v>Sofia Morozova</x:v>
      </x:c>
      <x:c r="C191" t="str">
        <x:v>sofia.morozova187@gmail.com</x:v>
      </x:c>
      <x:c r="D191" t="str">
        <x:v>+3725748883</x:v>
      </x:c>
      <x:c r="E191" t="str">
        <x:v>Tartu</x:v>
      </x:c>
      <x:c r="F191" s="38" t="n">
        <x:v>46170</x:v>
      </x:c>
      <x:c r="G191" t="str">
        <x:v>Notebook A5</x:v>
      </x:c>
      <x:c r="H191" t="str">
        <x:v>Office</x:v>
      </x:c>
      <x:c r="I191" s="40" t="n">
        <x:v>5.04</x:v>
      </x:c>
      <x:c r="J191" t="str">
        <x:v>CANCELLED</x:v>
      </x:c>
      <x:c r="K191" t="str">
        <x:v>Unique</x:v>
      </x:c>
      <x:c r="L191" t="str">
        <x:v>OK</x:v>
      </x:c>
    </x:row>
    <x:row r="192">
      <x:c r="A192" t="str">
        <x:v>ORD-1188</x:v>
      </x:c>
      <x:c r="B192" t="str">
        <x:v>Kate Brown</x:v>
      </x:c>
      <x:c r="C192" t="str">
        <x:v>kate.brown188@example.com</x:v>
      </x:c>
      <x:c r="D192" t="str">
        <x:v>+3725159470</x:v>
      </x:c>
      <x:c r="E192" t="str">
        <x:v>Riga</x:v>
      </x:c>
      <x:c r="F192" s="38" t="n">
        <x:v>46088</x:v>
      </x:c>
      <x:c r="G192" t="str">
        <x:v>Notebook A5</x:v>
      </x:c>
      <x:c r="H192" t="str">
        <x:v>Office</x:v>
      </x:c>
      <x:c r="I192" s="40" t="n">
        <x:v>12.54</x:v>
      </x:c>
      <x:c r="J192" t="str">
        <x:v>REFUNDED</x:v>
      </x:c>
      <x:c r="K192" t="str">
        <x:v>Unique</x:v>
      </x:c>
      <x:c r="L192" t="str">
        <x:v>OK</x:v>
      </x:c>
    </x:row>
    <x:row r="193">
      <x:c r="A193" t="str">
        <x:v>ORD-1189</x:v>
      </x:c>
      <x:c r="B193" t="str">
        <x:v>Daria Kuznetsova</x:v>
      </x:c>
      <x:c r="C193" t="str">
        <x:v>daria.kuznetsova189@example.com</x:v>
      </x:c>
      <x:c r="D193" t="str">
        <x:v>+3725685480</x:v>
      </x:c>
      <x:c r="E193" t="str">
        <x:v>Helsinki</x:v>
      </x:c>
      <x:c r="F193" s="38" t="n">
        <x:v>46090</x:v>
      </x:c>
      <x:c r="G193" t="str">
        <x:v>Water Bottle</x:v>
      </x:c>
      <x:c r="H193" t="str">
        <x:v>Sports</x:v>
      </x:c>
      <x:c r="I193" s="40" t="n">
        <x:v>35.94</x:v>
      </x:c>
      <x:c r="J193" t="str">
        <x:v>CANCELLED</x:v>
      </x:c>
      <x:c r="K193" t="str">
        <x:v>Unique</x:v>
      </x:c>
      <x:c r="L193" t="str">
        <x:v>OK</x:v>
      </x:c>
    </x:row>
    <x:row r="194">
      <x:c r="A194" t="str">
        <x:v>ORD-1190</x:v>
      </x:c>
      <x:c r="B194" t="str">
        <x:v>Sofia Morozova</x:v>
      </x:c>
      <x:c r="C194" t="str">
        <x:v>sofia.morozova190@example.com</x:v>
      </x:c>
      <x:c r="D194" t="str">
        <x:v>+3725224927</x:v>
      </x:c>
      <x:c r="E194" t="str">
        <x:v>Helsinki</x:v>
      </x:c>
      <x:c r="F194" s="38" t="n">
        <x:v>46171</x:v>
      </x:c>
      <x:c r="G194" t="str">
        <x:v>Desk Lamp</x:v>
      </x:c>
      <x:c r="H194" t="str">
        <x:v>Home</x:v>
      </x:c>
      <x:c r="I194" s="40" t="n">
        <x:v>151.32</x:v>
      </x:c>
      <x:c r="J194" t="str">
        <x:v>PENDING</x:v>
      </x:c>
      <x:c r="K194" t="str">
        <x:v>Unique</x:v>
      </x:c>
      <x:c r="L194" t="str">
        <x:v>OK</x:v>
      </x:c>
    </x:row>
    <x:row r="195">
      <x:c r="A195" t="str">
        <x:v>ORD-1191</x:v>
      </x:c>
      <x:c r="B195" t="str">
        <x:v>Sofia Morozova</x:v>
      </x:c>
      <x:c r="C195" t="str">
        <x:v>sofia.morozova191@mail.com</x:v>
      </x:c>
      <x:c r="D195" t="str">
        <x:v>+3725220373</x:v>
      </x:c>
      <x:c r="E195" t="str">
        <x:v>Tallinn</x:v>
      </x:c>
      <x:c r="F195" s="38" t="n">
        <x:v>46054</x:v>
      </x:c>
      <x:c r="G195" t="str">
        <x:v>Notebook A5</x:v>
      </x:c>
      <x:c r="H195" t="str">
        <x:v>Office</x:v>
      </x:c>
      <x:c r="I195" s="40" t="n">
        <x:v>4.94</x:v>
      </x:c>
      <x:c r="J195" t="str">
        <x:v>REFUNDED</x:v>
      </x:c>
      <x:c r="K195" t="str">
        <x:v>Unique</x:v>
      </x:c>
      <x:c r="L195" t="str">
        <x:v>OK</x:v>
      </x:c>
    </x:row>
    <x:row r="196">
      <x:c r="A196" t="str">
        <x:v>ORD-1192</x:v>
      </x:c>
      <x:c r="B196" t="str">
        <x:v>Anna Ivanova</x:v>
      </x:c>
      <x:c r="C196" t="str">
        <x:v>anna.ivanova192@example.com</x:v>
      </x:c>
      <x:c r="D196" t="str">
        <x:v>+3725386710</x:v>
      </x:c>
      <x:c r="E196" t="str">
        <x:v>Vilnius</x:v>
      </x:c>
      <x:c r="F196" s="38" t="n">
        <x:v>46090</x:v>
      </x:c>
      <x:c r="G196" t="str">
        <x:v>Coffee Beans</x:v>
      </x:c>
      <x:c r="H196" t="str">
        <x:v>Food</x:v>
      </x:c>
      <x:c r="I196" s="40" t="n">
        <x:v>44.72</x:v>
      </x:c>
      <x:c r="J196" t="str">
        <x:v>PENDING</x:v>
      </x:c>
      <x:c r="K196" t="str">
        <x:v>Unique</x:v>
      </x:c>
      <x:c r="L196" t="str">
        <x:v>OK</x:v>
      </x:c>
    </x:row>
    <x:row r="197">
      <x:c r="A197" t="str">
        <x:v>ORD-1193</x:v>
      </x:c>
      <x:c r="B197" t="str">
        <x:v>Elena Smirnova</x:v>
      </x:c>
      <x:c r="C197" t="str">
        <x:v>elena.smirnova193@example.com</x:v>
      </x:c>
      <x:c r="D197" t="str">
        <x:v>+3725525503</x:v>
      </x:c>
      <x:c r="E197" t="str">
        <x:v>Riga</x:v>
      </x:c>
      <x:c r="F197" s="38" t="n">
        <x:v>46028</x:v>
      </x:c>
      <x:c r="G197" t="str">
        <x:v>Wireless Mouse</x:v>
      </x:c>
      <x:c r="H197" t="str">
        <x:v>Electronics</x:v>
      </x:c>
      <x:c r="I197" s="40" t="n">
        <x:v>107.5</x:v>
      </x:c>
      <x:c r="J197" t="str">
        <x:v>REFUNDED</x:v>
      </x:c>
      <x:c r="K197" t="str">
        <x:v>Unique</x:v>
      </x:c>
      <x:c r="L197" t="str">
        <x:v>OK</x:v>
      </x:c>
    </x:row>
    <x:row r="198">
      <x:c r="A198" t="str">
        <x:v>ORD-1194</x:v>
      </x:c>
      <x:c r="B198" t="str">
        <x:v>Olga Sokolova</x:v>
      </x:c>
      <x:c r="C198" t="str">
        <x:v>olga.sokolova194@gmail.com</x:v>
      </x:c>
      <x:c r="D198" t="str">
        <x:v>+3725606016</x:v>
      </x:c>
      <x:c r="E198" t="str">
        <x:v>Vilnius</x:v>
      </x:c>
      <x:c r="F198" s="38" t="n">
        <x:v>46116</x:v>
      </x:c>
      <x:c r="G198" t="str">
        <x:v>Desk Lamp</x:v>
      </x:c>
      <x:c r="H198" t="str">
        <x:v>Home</x:v>
      </x:c>
      <x:c r="I198" s="40" t="n">
        <x:v>160.7</x:v>
      </x:c>
      <x:c r="J198" t="str">
        <x:v>PAID</x:v>
      </x:c>
      <x:c r="K198" t="str">
        <x:v>Unique</x:v>
      </x:c>
      <x:c r="L198" t="str">
        <x:v>OK</x:v>
      </x:c>
    </x:row>
    <x:row r="199">
      <x:c r="A199" t="str">
        <x:v>ORD-1195</x:v>
      </x:c>
      <x:c r="B199" t="str">
        <x:v>Daria Kuznetsova</x:v>
      </x:c>
      <x:c r="C199" t="str">
        <x:v>daria.kuznetsova195@example.com</x:v>
      </x:c>
      <x:c r="D199" t="str">
        <x:v>+3725703151</x:v>
      </x:c>
      <x:c r="E199" t="str">
        <x:v>Warsaw</x:v>
      </x:c>
      <x:c r="F199" s="38" t="n">
        <x:v>46048</x:v>
      </x:c>
      <x:c r="G199" t="str">
        <x:v>USB-C Cable</x:v>
      </x:c>
      <x:c r="H199" t="str">
        <x:v>Electronics</x:v>
      </x:c>
      <x:c r="I199" s="40" t="n">
        <x:v>18.61</x:v>
      </x:c>
      <x:c r="J199" t="str">
        <x:v>REFUNDED</x:v>
      </x:c>
      <x:c r="K199" t="str">
        <x:v>Unique</x:v>
      </x:c>
      <x:c r="L199" t="str">
        <x:v>OK</x:v>
      </x:c>
    </x:row>
    <x:row r="200">
      <x:c r="A200" t="str">
        <x:v>ORD-1196</x:v>
      </x:c>
      <x:c r="B200" t="str">
        <x:v>Nina Volkova</x:v>
      </x:c>
      <x:c r="C200" t="str">
        <x:v>nina.volkova196@mail.com</x:v>
      </x:c>
      <x:c r="D200" t="str">
        <x:v>+3725684445</x:v>
      </x:c>
      <x:c r="E200" t="str">
        <x:v>Helsinki</x:v>
      </x:c>
      <x:c r="F200" s="38" t="n">
        <x:v>46152</x:v>
      </x:c>
      <x:c r="G200" t="str">
        <x:v>Water Bottle</x:v>
      </x:c>
      <x:c r="H200" t="str">
        <x:v>Sports</x:v>
      </x:c>
      <x:c r="I200" s="40" t="n">
        <x:v>95.01</x:v>
      </x:c>
      <x:c r="J200" t="str">
        <x:v>PAID</x:v>
      </x:c>
      <x:c r="K200" t="str">
        <x:v>Unique</x:v>
      </x:c>
      <x:c r="L200" t="str">
        <x:v>OK</x:v>
      </x:c>
    </x:row>
    <x:row r="201">
      <x:c r="A201" t="str">
        <x:v>ORD-1197</x:v>
      </x:c>
      <x:c r="B201" t="str">
        <x:v>Daria Kuznetsova</x:v>
      </x:c>
      <x:c r="C201" t="str">
        <x:v>daria.kuznetsova197@gmail.com</x:v>
      </x:c>
      <x:c r="D201" t="str">
        <x:v>+3725521834</x:v>
      </x:c>
      <x:c r="E201" t="str">
        <x:v>Helsinki</x:v>
      </x:c>
      <x:c r="F201" s="38" t="n">
        <x:v>46057</x:v>
      </x:c>
      <x:c r="G201" t="str">
        <x:v>Coffee Beans</x:v>
      </x:c>
      <x:c r="H201" t="str">
        <x:v>Food</x:v>
      </x:c>
      <x:c r="I201" s="40" t="n">
        <x:v>27.16</x:v>
      </x:c>
      <x:c r="J201" t="str">
        <x:v>PENDING</x:v>
      </x:c>
      <x:c r="K201" t="str">
        <x:v>Unique</x:v>
      </x:c>
      <x:c r="L201" t="str">
        <x:v>OK</x:v>
      </x:c>
    </x:row>
    <x:row r="202">
      <x:c r="A202" t="str">
        <x:v>ORD-1198</x:v>
      </x:c>
      <x:c r="B202" t="str">
        <x:v>Anna Ivanova</x:v>
      </x:c>
      <x:c r="C202" t="str">
        <x:v>anna.ivanova198@gmail.com</x:v>
      </x:c>
      <x:c r="D202" t="str">
        <x:v>+3725271352</x:v>
      </x:c>
      <x:c r="E202" t="str">
        <x:v>Riga</x:v>
      </x:c>
      <x:c r="F202" s="38" t="n">
        <x:v>46055</x:v>
      </x:c>
      <x:c r="G202" t="str">
        <x:v>Water Bottle</x:v>
      </x:c>
      <x:c r="H202" t="str">
        <x:v>Sports</x:v>
      </x:c>
      <x:c r="I202" s="40" t="n">
        <x:v>93.18</x:v>
      </x:c>
      <x:c r="J202" t="str">
        <x:v>REFUNDED</x:v>
      </x:c>
      <x:c r="K202" t="str">
        <x:v>Unique</x:v>
      </x:c>
      <x:c r="L202" t="str">
        <x:v>OK</x:v>
      </x:c>
    </x:row>
    <x:row r="203">
      <x:c r="A203" t="str">
        <x:v>ORD-1199</x:v>
      </x:c>
      <x:c r="B203" t="str">
        <x:v>Alina Fedorova</x:v>
      </x:c>
      <x:c r="C203" t="str">
        <x:v>alina.fedorova199@mail.com</x:v>
      </x:c>
      <x:c r="D203" t="str">
        <x:v>+3725417743</x:v>
      </x:c>
      <x:c r="E203" t="str">
        <x:v>Riga</x:v>
      </x:c>
      <x:c r="F203" s="38" t="n">
        <x:v>46139</x:v>
      </x:c>
      <x:c r="G203" t="str">
        <x:v>USB-C Cable</x:v>
      </x:c>
      <x:c r="H203" t="str">
        <x:v>Electronics</x:v>
      </x:c>
      <x:c r="I203" s="40" t="n">
        <x:v>53.74</x:v>
      </x:c>
      <x:c r="J203" t="str">
        <x:v>PAID</x:v>
      </x:c>
      <x:c r="K203" t="str">
        <x:v>Unique</x:v>
      </x:c>
      <x:c r="L203" t="str">
        <x:v>OK</x:v>
      </x:c>
    </x:row>
    <x:row r="204">
      <x:c r="A204" t="str">
        <x:v>ORD-1200</x:v>
      </x:c>
      <x:c r="B204" t="str">
        <x:v>Nina Volkova</x:v>
      </x:c>
      <x:c r="C204" t="str">
        <x:v>nina.volkova200@gmail.com</x:v>
      </x:c>
      <x:c r="D204" t="str">
        <x:v>+3725100636</x:v>
      </x:c>
      <x:c r="E204" t="str">
        <x:v>Tartu</x:v>
      </x:c>
      <x:c r="F204" s="38" t="n">
        <x:v>46150</x:v>
      </x:c>
      <x:c r="G204" t="str">
        <x:v>Premium Tea</x:v>
      </x:c>
      <x:c r="H204" t="str">
        <x:v>Food</x:v>
      </x:c>
      <x:c r="I204" s="40" t="n">
        <x:v>12.03</x:v>
      </x:c>
      <x:c r="J204" t="str">
        <x:v>PAID</x:v>
      </x:c>
      <x:c r="K204" t="str">
        <x:v>Unique</x:v>
      </x:c>
      <x:c r="L204" t="str">
        <x:v>OK</x:v>
      </x:c>
    </x:row>
    <x:row r="205">
      <x:c r="A205" t="str">
        <x:v>ORD-1201</x:v>
      </x:c>
      <x:c r="B205" t="str">
        <x:v>Elena Smirnova</x:v>
      </x:c>
      <x:c r="C205" t="str">
        <x:v>elena.smirnova201@gmail.com</x:v>
      </x:c>
      <x:c r="D205" t="str">
        <x:v>+3725265326</x:v>
      </x:c>
      <x:c r="E205" t="str">
        <x:v>Tallinn</x:v>
      </x:c>
      <x:c r="F205" s="38" t="n">
        <x:v>46132</x:v>
      </x:c>
      <x:c r="G205" t="str">
        <x:v>Premium Tea</x:v>
      </x:c>
      <x:c r="H205" t="str">
        <x:v>Food</x:v>
      </x:c>
      <x:c r="I205" s="40" t="n">
        <x:v>12.69</x:v>
      </x:c>
      <x:c r="J205" t="str">
        <x:v>CANCELLED</x:v>
      </x:c>
      <x:c r="K205" t="str">
        <x:v>Unique</x:v>
      </x:c>
      <x:c r="L205" t="str">
        <x:v>OK</x:v>
      </x:c>
    </x:row>
    <x:row r="206">
      <x:c r="A206" t="str">
        <x:v>ORD-1202</x:v>
      </x:c>
      <x:c r="B206" t="str">
        <x:v>Olga Sokolova</x:v>
      </x:c>
      <x:c r="C206" t="str">
        <x:v>olga.sokolova202@gmail.com</x:v>
      </x:c>
      <x:c r="D206" t="str">
        <x:v>+3725685869</x:v>
      </x:c>
      <x:c r="E206" t="str">
        <x:v>Tartu</x:v>
      </x:c>
      <x:c r="F206" s="38" t="n">
        <x:v>46075</x:v>
      </x:c>
      <x:c r="G206" t="str">
        <x:v>Yoga Mat</x:v>
      </x:c>
      <x:c r="H206" t="str">
        <x:v>Sports</x:v>
      </x:c>
      <x:c r="I206" s="40" t="n">
        <x:v>54.04</x:v>
      </x:c>
      <x:c r="J206" t="str">
        <x:v>CANCELLED</x:v>
      </x:c>
      <x:c r="K206" t="str">
        <x:v>Unique</x:v>
      </x:c>
      <x:c r="L206" t="str">
        <x:v>OK</x:v>
      </x:c>
    </x:row>
    <x:row r="207">
      <x:c r="A207" t="str">
        <x:v>ORD-1203</x:v>
      </x:c>
      <x:c r="B207" t="str">
        <x:v>Elena Smirnova</x:v>
      </x:c>
      <x:c r="C207" t="str">
        <x:v>elena.smirnova203@mail.com</x:v>
      </x:c>
      <x:c r="D207" t="str">
        <x:v>+3725670205</x:v>
      </x:c>
      <x:c r="E207" t="str">
        <x:v>Riga</x:v>
      </x:c>
      <x:c r="F207" s="38" t="n">
        <x:v>46169</x:v>
      </x:c>
      <x:c r="G207" t="str">
        <x:v>USB-C Cable</x:v>
      </x:c>
      <x:c r="H207" t="str">
        <x:v>Electronics</x:v>
      </x:c>
      <x:c r="I207" s="40" t="n">
        <x:v>39.77</x:v>
      </x:c>
      <x:c r="J207" t="str">
        <x:v>PENDING</x:v>
      </x:c>
      <x:c r="K207" t="str">
        <x:v>Unique</x:v>
      </x:c>
      <x:c r="L207" t="str">
        <x:v>OK</x:v>
      </x:c>
    </x:row>
    <x:row r="208">
      <x:c r="A208" t="str">
        <x:v>ORD-1204</x:v>
      </x:c>
      <x:c r="B208" t="str">
        <x:v>Olga Sokolova</x:v>
      </x:c>
      <x:c r="C208" t="str">
        <x:v>olga.sokolova204@mail.com</x:v>
      </x:c>
      <x:c r="D208" t="str">
        <x:v>+3725877484</x:v>
      </x:c>
      <x:c r="E208" t="str">
        <x:v>Vilnius</x:v>
      </x:c>
      <x:c r="F208" s="38" t="n">
        <x:v>46113</x:v>
      </x:c>
      <x:c r="G208" t="str">
        <x:v>Coffee Beans</x:v>
      </x:c>
      <x:c r="H208" t="str">
        <x:v>Food</x:v>
      </x:c>
      <x:c r="I208" s="40" t="n">
        <x:v>43.87</x:v>
      </x:c>
      <x:c r="J208" t="str">
        <x:v>PENDING</x:v>
      </x:c>
      <x:c r="K208" t="str">
        <x:v>Unique</x:v>
      </x:c>
      <x:c r="L208" t="str">
        <x:v>OK</x:v>
      </x:c>
    </x:row>
    <x:row r="209">
      <x:c r="A209" t="str">
        <x:v>ORD-1205</x:v>
      </x:c>
      <x:c r="B209" t="str">
        <x:v>Anna Ivanova</x:v>
      </x:c>
      <x:c r="C209" t="str">
        <x:v>anna.ivanova205@example.com</x:v>
      </x:c>
      <x:c r="D209" t="str">
        <x:v>+3725613929</x:v>
      </x:c>
      <x:c r="E209" t="str">
        <x:v>Vilnius</x:v>
      </x:c>
      <x:c r="F209" s="38" t="n">
        <x:v>46170</x:v>
      </x:c>
      <x:c r="G209" t="str">
        <x:v>Wireless Mouse</x:v>
      </x:c>
      <x:c r="H209" t="str">
        <x:v>Electronics</x:v>
      </x:c>
      <x:c r="I209" s="40" t="n">
        <x:v>79.12</x:v>
      </x:c>
      <x:c r="J209" t="str">
        <x:v>PAID</x:v>
      </x:c>
      <x:c r="K209" t="str">
        <x:v>Unique</x:v>
      </x:c>
      <x:c r="L209" t="str">
        <x:v>OK</x:v>
      </x:c>
    </x:row>
    <x:row r="210">
      <x:c r="A210" t="str">
        <x:v>ORD-1206</x:v>
      </x:c>
      <x:c r="B210" t="str">
        <x:v>Kate Brown</x:v>
      </x:c>
      <x:c r="C210" t="str">
        <x:v>kate.brown206@mail.com</x:v>
      </x:c>
      <x:c r="D210" t="str">
        <x:v>+3725898543</x:v>
      </x:c>
      <x:c r="E210" t="str">
        <x:v>Tartu</x:v>
      </x:c>
      <x:c r="F210" s="38" t="n">
        <x:v>46060</x:v>
      </x:c>
      <x:c r="G210" t="str">
        <x:v>Premium Tea</x:v>
      </x:c>
      <x:c r="H210" t="str">
        <x:v>Food</x:v>
      </x:c>
      <x:c r="I210" s="40" t="n">
        <x:v>37.85</x:v>
      </x:c>
      <x:c r="J210" t="str">
        <x:v>PAID</x:v>
      </x:c>
      <x:c r="K210" t="str">
        <x:v>Unique</x:v>
      </x:c>
      <x:c r="L210" t="str">
        <x:v>OK</x:v>
      </x:c>
    </x:row>
    <x:row r="211">
      <x:c r="A211" t="str">
        <x:v>ORD-1207</x:v>
      </x:c>
      <x:c r="B211" t="str">
        <x:v>Anna Ivanova</x:v>
      </x:c>
      <x:c r="C211" t="str">
        <x:v>anna.ivanova207@mail.com</x:v>
      </x:c>
      <x:c r="D211" t="str">
        <x:v>+3725120503</x:v>
      </x:c>
      <x:c r="E211" t="str">
        <x:v>Riga</x:v>
      </x:c>
      <x:c r="F211" s="38" t="n">
        <x:v>46143</x:v>
      </x:c>
      <x:c r="G211" t="str">
        <x:v>Premium Tea</x:v>
      </x:c>
      <x:c r="H211" t="str">
        <x:v>Food</x:v>
      </x:c>
      <x:c r="I211" s="40" t="n">
        <x:v>62.23</x:v>
      </x:c>
      <x:c r="J211" t="str">
        <x:v>PAID</x:v>
      </x:c>
      <x:c r="K211" t="str">
        <x:v>Unique</x:v>
      </x:c>
      <x:c r="L211" t="str">
        <x:v>OK</x:v>
      </x:c>
    </x:row>
    <x:row r="212">
      <x:c r="A212" t="str">
        <x:v>ORD-1208</x:v>
      </x:c>
      <x:c r="B212" t="str">
        <x:v>Maria Petrova</x:v>
      </x:c>
      <x:c r="C212" t="str">
        <x:v>maria.petrova208@example.com</x:v>
      </x:c>
      <x:c r="D212" t="str">
        <x:v>+3725299242</x:v>
      </x:c>
      <x:c r="E212" t="str">
        <x:v>Vilnius</x:v>
      </x:c>
      <x:c r="F212" s="38" t="n">
        <x:v>46061</x:v>
      </x:c>
      <x:c r="G212" t="str">
        <x:v>USB-C Cable</x:v>
      </x:c>
      <x:c r="H212" t="str">
        <x:v>Electronics</x:v>
      </x:c>
      <x:c r="I212" s="40" t="n">
        <x:v>30.38</x:v>
      </x:c>
      <x:c r="J212" t="str">
        <x:v>REFUNDED</x:v>
      </x:c>
      <x:c r="K212" t="str">
        <x:v>Unique</x:v>
      </x:c>
      <x:c r="L212" t="str">
        <x:v>OK</x:v>
      </x:c>
    </x:row>
    <x:row r="213">
      <x:c r="A213" t="str">
        <x:v>ORD-1209</x:v>
      </x:c>
      <x:c r="B213" t="str">
        <x:v>Kate Brown</x:v>
      </x:c>
      <x:c r="C213" t="str">
        <x:v>kate.brown209@mail.com</x:v>
      </x:c>
      <x:c r="D213" t="str">
        <x:v>+3725757747</x:v>
      </x:c>
      <x:c r="E213" t="str">
        <x:v>Tartu</x:v>
      </x:c>
      <x:c r="F213" s="38" t="n">
        <x:v>46128</x:v>
      </x:c>
      <x:c r="G213" t="str">
        <x:v>Coffee Beans</x:v>
      </x:c>
      <x:c r="H213" t="str">
        <x:v>Food</x:v>
      </x:c>
      <x:c r="I213" s="40" t="n">
        <x:v>54.83</x:v>
      </x:c>
      <x:c r="J213" t="str">
        <x:v>PENDING</x:v>
      </x:c>
      <x:c r="K213" t="str">
        <x:v>Unique</x:v>
      </x:c>
      <x:c r="L213" t="str">
        <x:v>OK</x:v>
      </x:c>
    </x:row>
    <x:row r="214">
      <x:c r="A214" t="str">
        <x:v>ORD-1210</x:v>
      </x:c>
      <x:c r="B214" t="str">
        <x:v>Anna Ivanova</x:v>
      </x:c>
      <x:c r="C214" t="str">
        <x:v>anna.ivanova210@example.com</x:v>
      </x:c>
      <x:c r="D214" t="str">
        <x:v>+3725280183</x:v>
      </x:c>
      <x:c r="E214" t="str">
        <x:v>Tartu</x:v>
      </x:c>
      <x:c r="F214" s="38" t="n">
        <x:v>46095</x:v>
      </x:c>
      <x:c r="G214" t="str">
        <x:v>Wireless Mouse</x:v>
      </x:c>
      <x:c r="H214" t="str">
        <x:v>Electronics</x:v>
      </x:c>
      <x:c r="I214" s="40" t="n">
        <x:v>51.6</x:v>
      </x:c>
      <x:c r="J214" t="str">
        <x:v>REFUNDED</x:v>
      </x:c>
      <x:c r="K214" t="str">
        <x:v>Unique</x:v>
      </x:c>
      <x:c r="L214" t="str">
        <x:v>OK</x:v>
      </x:c>
    </x:row>
    <x:row r="215">
      <x:c r="A215" t="str">
        <x:v>ORD-1211</x:v>
      </x:c>
      <x:c r="B215" t="str">
        <x:v>Kate Brown</x:v>
      </x:c>
      <x:c r="C215" t="str">
        <x:v>kate.brown211@example.com</x:v>
      </x:c>
      <x:c r="D215" t="str">
        <x:v>+3725972642</x:v>
      </x:c>
      <x:c r="E215" t="str">
        <x:v>Helsinki</x:v>
      </x:c>
      <x:c r="F215" s="38" t="n">
        <x:v>46044</x:v>
      </x:c>
      <x:c r="G215" t="str">
        <x:v>Notebook A5</x:v>
      </x:c>
      <x:c r="H215" t="str">
        <x:v>Office</x:v>
      </x:c>
      <x:c r="I215" s="40" t="n">
        <x:v>10.2</x:v>
      </x:c>
      <x:c r="J215" t="str">
        <x:v>PENDING</x:v>
      </x:c>
      <x:c r="K215" t="str">
        <x:v>Unique</x:v>
      </x:c>
      <x:c r="L215" t="str">
        <x:v>OK</x:v>
      </x:c>
    </x:row>
    <x:row r="216">
      <x:c r="A216" t="str">
        <x:v>ORD-1212</x:v>
      </x:c>
      <x:c r="B216" t="str">
        <x:v>Elena Smirnova</x:v>
      </x:c>
      <x:c r="C216" t="str">
        <x:v>elena.smirnova212@mail.com</x:v>
      </x:c>
      <x:c r="D216" t="str">
        <x:v>+3725416121</x:v>
      </x:c>
      <x:c r="E216" t="str">
        <x:v>Warsaw</x:v>
      </x:c>
      <x:c r="F216" s="38" t="n">
        <x:v>46060</x:v>
      </x:c>
      <x:c r="G216" t="str">
        <x:v>Water Bottle</x:v>
      </x:c>
      <x:c r="H216" t="str">
        <x:v>Sports</x:v>
      </x:c>
      <x:c r="I216" s="40" t="n">
        <x:v>17.43</x:v>
      </x:c>
      <x:c r="J216" t="str">
        <x:v>PAID</x:v>
      </x:c>
      <x:c r="K216" t="str">
        <x:v>Unique</x:v>
      </x:c>
      <x:c r="L216" t="str">
        <x:v>OK</x:v>
      </x:c>
    </x:row>
    <x:row r="217">
      <x:c r="A217" t="str">
        <x:v>ORD-1213</x:v>
      </x:c>
      <x:c r="B217" t="str">
        <x:v>Nina Volkova</x:v>
      </x:c>
      <x:c r="C217" t="str">
        <x:v>nina.volkova213@gmail.com</x:v>
      </x:c>
      <x:c r="D217" t="str">
        <x:v>+3725397053</x:v>
      </x:c>
      <x:c r="E217" t="str">
        <x:v>Tallinn</x:v>
      </x:c>
      <x:c r="F217" s="38" t="n">
        <x:v>46150</x:v>
      </x:c>
      <x:c r="G217" t="str">
        <x:v>Yoga Mat</x:v>
      </x:c>
      <x:c r="H217" t="str">
        <x:v>Sports</x:v>
      </x:c>
      <x:c r="I217" s="40" t="n">
        <x:v>118.53</x:v>
      </x:c>
      <x:c r="J217" t="str">
        <x:v>CANCELLED</x:v>
      </x:c>
      <x:c r="K217" t="str">
        <x:v>Unique</x:v>
      </x:c>
      <x:c r="L217" t="str">
        <x:v>OK</x:v>
      </x:c>
    </x:row>
    <x:row r="218">
      <x:c r="A218" t="str">
        <x:v>ORD-1214</x:v>
      </x:c>
      <x:c r="B218" t="str">
        <x:v>Nina Volkova</x:v>
      </x:c>
      <x:c r="C218" t="str">
        <x:v>nina.volkova214@gmail.com</x:v>
      </x:c>
      <x:c r="D218" t="str">
        <x:v>+3725910121</x:v>
      </x:c>
      <x:c r="E218" t="str">
        <x:v>Riga</x:v>
      </x:c>
      <x:c r="F218" s="38" t="n">
        <x:v>46143</x:v>
      </x:c>
      <x:c r="G218" t="str">
        <x:v>USB-C Cable</x:v>
      </x:c>
      <x:c r="H218" t="str">
        <x:v>Electronics</x:v>
      </x:c>
      <x:c r="I218" s="40" t="n">
        <x:v>22.21</x:v>
      </x:c>
      <x:c r="J218" t="str">
        <x:v>PAID</x:v>
      </x:c>
      <x:c r="K218" t="str">
        <x:v>Unique</x:v>
      </x:c>
      <x:c r="L218" t="str">
        <x:v>OK</x:v>
      </x:c>
    </x:row>
    <x:row r="219">
      <x:c r="A219" t="str">
        <x:v>ORD-1215</x:v>
      </x:c>
      <x:c r="B219" t="str">
        <x:v>Daria Kuznetsova</x:v>
      </x:c>
      <x:c r="C219" t="str">
        <x:v>daria.kuznetsova215@gmail.com</x:v>
      </x:c>
      <x:c r="D219" t="str">
        <x:v>+3725535509</x:v>
      </x:c>
      <x:c r="E219" t="str">
        <x:v>Riga</x:v>
      </x:c>
      <x:c r="F219" s="38" t="n">
        <x:v>46048</x:v>
      </x:c>
      <x:c r="G219" t="str">
        <x:v>Yoga Mat</x:v>
      </x:c>
      <x:c r="H219" t="str">
        <x:v>Sports</x:v>
      </x:c>
      <x:c r="I219" s="40" t="n">
        <x:v>32.31</x:v>
      </x:c>
      <x:c r="J219" t="str">
        <x:v>PAID</x:v>
      </x:c>
      <x:c r="K219" t="str">
        <x:v>Unique</x:v>
      </x:c>
      <x:c r="L219" t="str">
        <x:v>OK</x:v>
      </x:c>
    </x:row>
    <x:row r="220">
      <x:c r="A220" t="str">
        <x:v>ORD-1216</x:v>
      </x:c>
      <x:c r="B220" t="str">
        <x:v>Maria Petrova</x:v>
      </x:c>
      <x:c r="C220" t="str">
        <x:v>maria.petrova216@mail.com</x:v>
      </x:c>
      <x:c r="D220" t="str">
        <x:v>+3725278775</x:v>
      </x:c>
      <x:c r="E220" t="str">
        <x:v>Tartu</x:v>
      </x:c>
      <x:c r="F220" s="38" t="n">
        <x:v>46063</x:v>
      </x:c>
      <x:c r="G220" t="str">
        <x:v>Premium Tea</x:v>
      </x:c>
      <x:c r="H220" t="str">
        <x:v>Food</x:v>
      </x:c>
      <x:c r="I220" s="40" t="n">
        <x:v>33.51</x:v>
      </x:c>
      <x:c r="J220" t="str">
        <x:v>REFUNDED</x:v>
      </x:c>
      <x:c r="K220" t="str">
        <x:v>Unique</x:v>
      </x:c>
      <x:c r="L220" t="str">
        <x:v>OK</x:v>
      </x:c>
    </x:row>
    <x:row r="221">
      <x:c r="A221" t="str">
        <x:v>ORD-1217</x:v>
      </x:c>
      <x:c r="B221" t="str">
        <x:v>Alina Fedorova</x:v>
      </x:c>
      <x:c r="C221" t="str">
        <x:v>alina.fedorova217@gmail.com</x:v>
      </x:c>
      <x:c r="D221" t="str">
        <x:v>+3725809669</x:v>
      </x:c>
      <x:c r="E221" t="str">
        <x:v>Vilnius</x:v>
      </x:c>
      <x:c r="F221" s="38" t="n">
        <x:v>46063</x:v>
      </x:c>
      <x:c r="G221" t="str">
        <x:v>Wireless Mouse</x:v>
      </x:c>
      <x:c r="H221" t="str">
        <x:v>Electronics</x:v>
      </x:c>
      <x:c r="I221" s="40" t="n">
        <x:v>113.99</x:v>
      </x:c>
      <x:c r="J221" t="str">
        <x:v>PENDING</x:v>
      </x:c>
      <x:c r="K221" t="str">
        <x:v>Unique</x:v>
      </x:c>
      <x:c r="L221" t="str">
        <x:v>OK</x:v>
      </x:c>
    </x:row>
    <x:row r="222">
      <x:c r="A222" t="str">
        <x:v>ORD-1218</x:v>
      </x:c>
      <x:c r="B222" t="str">
        <x:v>Irina Popova</x:v>
      </x:c>
      <x:c r="C222" t="str">
        <x:v>irina.popova218@example.com</x:v>
      </x:c>
      <x:c r="D222" t="str">
        <x:v>+3725521690</x:v>
      </x:c>
      <x:c r="E222" t="str">
        <x:v>Helsinki</x:v>
      </x:c>
      <x:c r="F222" s="38" t="n">
        <x:v>46105</x:v>
      </x:c>
      <x:c r="G222" t="str">
        <x:v>Yoga Mat</x:v>
      </x:c>
      <x:c r="H222" t="str">
        <x:v>Sports</x:v>
      </x:c>
      <x:c r="I222" s="40" t="n">
        <x:v>52.39</x:v>
      </x:c>
      <x:c r="J222" t="str">
        <x:v>PAID</x:v>
      </x:c>
      <x:c r="K222" t="str">
        <x:v>Unique</x:v>
      </x:c>
      <x:c r="L222" t="str">
        <x:v>OK</x:v>
      </x:c>
    </x:row>
    <x:row r="223">
      <x:c r="A223" t="str">
        <x:v>ORD-1219</x:v>
      </x:c>
      <x:c r="B223" t="str">
        <x:v>Irina Popova</x:v>
      </x:c>
      <x:c r="C223" t="str">
        <x:v>irina.popova219@example.com</x:v>
      </x:c>
      <x:c r="D223" t="str">
        <x:v>+3725449737</x:v>
      </x:c>
      <x:c r="E223" t="str">
        <x:v>Vilnius</x:v>
      </x:c>
      <x:c r="F223" s="38" t="n">
        <x:v>46038</x:v>
      </x:c>
      <x:c r="G223" t="str">
        <x:v>Premium Tea</x:v>
      </x:c>
      <x:c r="H223" t="str">
        <x:v>Food</x:v>
      </x:c>
      <x:c r="I223" s="40" t="n">
        <x:v>23.84</x:v>
      </x:c>
      <x:c r="J223" t="str">
        <x:v>REFUNDED</x:v>
      </x:c>
      <x:c r="K223" t="str">
        <x:v>Unique</x:v>
      </x:c>
      <x:c r="L223" t="str">
        <x:v>OK</x:v>
      </x:c>
    </x:row>
    <x:row r="224">
      <x:c r="A224" t="str">
        <x:v>ORD-1220</x:v>
      </x:c>
      <x:c r="B224" t="str">
        <x:v>Alina Fedorova</x:v>
      </x:c>
      <x:c r="C224" t="str">
        <x:v>alina.fedorova220@example.com</x:v>
      </x:c>
      <x:c r="D224" t="str">
        <x:v>+3725388556</x:v>
      </x:c>
      <x:c r="E224" t="str">
        <x:v>Tallinn</x:v>
      </x:c>
      <x:c r="F224" s="38" t="n">
        <x:v>46075</x:v>
      </x:c>
      <x:c r="G224" t="str">
        <x:v>Water Bottle</x:v>
      </x:c>
      <x:c r="H224" t="str">
        <x:v>Sports</x:v>
      </x:c>
      <x:c r="I224" s="40" t="n">
        <x:v>96.51</x:v>
      </x:c>
      <x:c r="J224" t="str">
        <x:v>PENDING</x:v>
      </x:c>
      <x:c r="K224" t="str">
        <x:v>Unique</x:v>
      </x:c>
      <x:c r="L224" t="str">
        <x:v>OK</x:v>
      </x:c>
    </x:row>
    <x:row r="225">
      <x:c r="A225" t="str">
        <x:v>ORD-1221</x:v>
      </x:c>
      <x:c r="B225" t="str">
        <x:v>Anna Ivanova</x:v>
      </x:c>
      <x:c r="C225" t="str">
        <x:v>anna.ivanova69@example.com</x:v>
      </x:c>
      <x:c r="D225" t="str">
        <x:v>+3725996440</x:v>
      </x:c>
      <x:c r="E225" t="str">
        <x:v>Vilnius</x:v>
      </x:c>
      <x:c r="F225" s="38" t="n">
        <x:v>46103</x:v>
      </x:c>
      <x:c r="G225" t="str">
        <x:v>Premium Tea</x:v>
      </x:c>
      <x:c r="H225" t="str">
        <x:v>Food</x:v>
      </x:c>
      <x:c r="I225" s="40" t="n">
        <x:v>12.18</x:v>
      </x:c>
      <x:c r="J225" t="str">
        <x:v>REFUNDED</x:v>
      </x:c>
      <x:c r="K225" t="str">
        <x:v>Duplicate</x:v>
      </x:c>
      <x:c r="L225" t="str">
        <x:v>OK</x:v>
      </x:c>
    </x:row>
    <x:row r="226">
      <x:c r="A226" t="str">
        <x:v>ORD-1222</x:v>
      </x:c>
      <x:c r="B226" t="str">
        <x:v>Irina Popova</x:v>
      </x:c>
      <x:c r="C226" t="str">
        <x:v>irina.popova124@mail.com</x:v>
      </x:c>
      <x:c r="D226" t="str">
        <x:v>+3725169431</x:v>
      </x:c>
      <x:c r="E226" t="str">
        <x:v>Warsaw</x:v>
      </x:c>
      <x:c r="F226" s="38" t="n">
        <x:v>46101</x:v>
      </x:c>
      <x:c r="G226" t="str">
        <x:v>Premium Tea</x:v>
      </x:c>
      <x:c r="H226" t="str">
        <x:v>Food</x:v>
      </x:c>
      <x:c r="I226" s="40" t="n">
        <x:v>38.08</x:v>
      </x:c>
      <x:c r="J226" t="str">
        <x:v>PAID</x:v>
      </x:c>
      <x:c r="K226" t="str">
        <x:v>Duplicate</x:v>
      </x:c>
      <x:c r="L226" t="str">
        <x:v>OK</x:v>
      </x:c>
    </x:row>
    <x:row r="227">
      <x:c r="A227" t="str">
        <x:v>ORD-1223</x:v>
      </x:c>
      <x:c r="B227" t="str">
        <x:v>Nina Volkova</x:v>
      </x:c>
      <x:c r="C227" t="str">
        <x:v>nina.volkova214@gmail.com</x:v>
      </x:c>
      <x:c r="D227" t="str">
        <x:v>+3725910121</x:v>
      </x:c>
      <x:c r="E227" t="str">
        <x:v>Riga</x:v>
      </x:c>
      <x:c r="F227" s="38" t="n">
        <x:v>46143</x:v>
      </x:c>
      <x:c r="G227" t="str">
        <x:v>USB-C Cable</x:v>
      </x:c>
      <x:c r="H227" t="str">
        <x:v>Electronics</x:v>
      </x:c>
      <x:c r="I227" s="40" t="n">
        <x:v>22.21</x:v>
      </x:c>
      <x:c r="J227" t="str">
        <x:v>PAID</x:v>
      </x:c>
      <x:c r="K227" t="str">
        <x:v>Duplicate</x:v>
      </x:c>
      <x:c r="L227" t="str">
        <x:v>OK</x:v>
      </x:c>
    </x:row>
    <x:row r="228">
      <x:c r="A228" t="str">
        <x:v>ORD-1224</x:v>
      </x:c>
      <x:c r="B228" t="str">
        <x:v>Sofia Morozova</x:v>
      </x:c>
      <x:c r="C228" t="str">
        <x:v>sofia.morozova45@example.com</x:v>
      </x:c>
      <x:c r="D228" t="str">
        <x:v>+3725142116</x:v>
      </x:c>
      <x:c r="E228" t="str">
        <x:v>Riga</x:v>
      </x:c>
      <x:c r="F228" s="38" t="n">
        <x:v>46046</x:v>
      </x:c>
      <x:c r="G228" t="str">
        <x:v>USB-C Cable</x:v>
      </x:c>
      <x:c r="H228" t="str">
        <x:v>Electronics</x:v>
      </x:c>
      <x:c r="I228" s="40" t="n">
        <x:v>42.68</x:v>
      </x:c>
      <x:c r="J228" t="str">
        <x:v>PENDING</x:v>
      </x:c>
      <x:c r="K228" t="str">
        <x:v>Duplicate</x:v>
      </x:c>
      <x:c r="L228" t="str">
        <x:v>OK</x:v>
      </x:c>
    </x:row>
    <x:row r="229">
      <x:c r="A229" t="str">
        <x:v>ORD-1225</x:v>
      </x:c>
      <x:c r="B229" t="str">
        <x:v>Nina Volkova</x:v>
      </x:c>
      <x:c r="C229" t="str">
        <x:v>nina.volkova37@gmail.com</x:v>
      </x:c>
      <x:c r="D229" t="str">
        <x:v>+3725584210</x:v>
      </x:c>
      <x:c r="E229" t="str">
        <x:v>Riga</x:v>
      </x:c>
      <x:c r="F229" s="38" t="n">
        <x:v>46070</x:v>
      </x:c>
      <x:c r="G229" t="str">
        <x:v>Wireless Mouse</x:v>
      </x:c>
      <x:c r="H229" t="str">
        <x:v>Electronics</x:v>
      </x:c>
      <x:c r="I229" s="40" t="n">
        <x:v>83.25</x:v>
      </x:c>
      <x:c r="J229" t="str">
        <x:v>PAID</x:v>
      </x:c>
      <x:c r="K229" t="str">
        <x:v>Duplicate</x:v>
      </x:c>
      <x:c r="L229" t="str">
        <x:v>OK</x:v>
      </x:c>
    </x:row>
    <x:row r="230">
      <x:c r="A230" t="str">
        <x:v>ORD-1226</x:v>
      </x:c>
      <x:c r="B230" t="str">
        <x:v>Olga Sokolova</x:v>
      </x:c>
      <x:c r="C230" t="str">
        <x:v>olga.sokolova194@gmail.com</x:v>
      </x:c>
      <x:c r="D230" t="str">
        <x:v>+3725606016</x:v>
      </x:c>
      <x:c r="E230" t="str">
        <x:v>Vilnius</x:v>
      </x:c>
      <x:c r="F230" s="38" t="n">
        <x:v>46116</x:v>
      </x:c>
      <x:c r="G230" t="str">
        <x:v>Desk Lamp</x:v>
      </x:c>
      <x:c r="H230" t="str">
        <x:v>Home</x:v>
      </x:c>
      <x:c r="I230" s="40" t="n">
        <x:v>160.7</x:v>
      </x:c>
      <x:c r="J230" t="str">
        <x:v>PAID</x:v>
      </x:c>
      <x:c r="K230" t="str">
        <x:v>Duplicate</x:v>
      </x:c>
      <x:c r="L230" t="str">
        <x:v>OK</x:v>
      </x:c>
    </x:row>
    <x:row r="231">
      <x:c r="A231" t="str">
        <x:v>ORD-1227</x:v>
      </x:c>
      <x:c r="B231" t="str">
        <x:v>Olga Sokolova</x:v>
      </x:c>
      <x:c r="C231" t="str">
        <x:v>olga.sokolova163@gmail.com</x:v>
      </x:c>
      <x:c r="D231" t="str">
        <x:v>+3725792715</x:v>
      </x:c>
      <x:c r="E231" t="str">
        <x:v>Tartu</x:v>
      </x:c>
      <x:c r="F231" s="38" t="n">
        <x:v>46127</x:v>
      </x:c>
      <x:c r="G231" t="str">
        <x:v>Desk Lamp</x:v>
      </x:c>
      <x:c r="H231" t="str">
        <x:v>Home</x:v>
      </x:c>
      <x:c r="I231" s="40" t="n">
        <x:v>33.18</x:v>
      </x:c>
      <x:c r="J231" t="str">
        <x:v>REFUNDED</x:v>
      </x:c>
      <x:c r="K231" t="str">
        <x:v>Duplicate</x:v>
      </x:c>
      <x:c r="L231" t="str">
        <x:v>OK</x:v>
      </x:c>
    </x:row>
    <x:row r="232">
      <x:c r="A232" t="str">
        <x:v>ORD-1228</x:v>
      </x:c>
      <x:c r="B232" t="str">
        <x:v>Sofia Morozova</x:v>
      </x:c>
      <x:c r="C232" t="str">
        <x:v>sofia.morozova90@example.com</x:v>
      </x:c>
      <x:c r="D232" t="str">
        <x:v>+3725439132</x:v>
      </x:c>
      <x:c r="E232" t="str">
        <x:v>Vilnius</x:v>
      </x:c>
      <x:c r="F232" s="38" t="n">
        <x:v>46123</x:v>
      </x:c>
      <x:c r="G232" t="str">
        <x:v>Coffee Beans</x:v>
      </x:c>
      <x:c r="H232" t="str">
        <x:v>Food</x:v>
      </x:c>
      <x:c r="I232" s="40" t="n">
        <x:v>80.16</x:v>
      </x:c>
      <x:c r="J232" t="str">
        <x:v>REFUNDED</x:v>
      </x:c>
      <x:c r="K232" t="str">
        <x:v>Duplicate</x:v>
      </x:c>
      <x:c r="L232" t="str">
        <x:v>OK</x:v>
      </x:c>
    </x:row>
    <x:row r="233">
      <x:c r="A233" t="str">
        <x:v>ORD-1229</x:v>
      </x:c>
      <x:c r="B233" t="str">
        <x:v>Alina Fedorova</x:v>
      </x:c>
      <x:c r="C233" t="str">
        <x:v>alina.fedorova130@mail.com</x:v>
      </x:c>
      <x:c r="D233" t="str">
        <x:v>+3725196571</x:v>
      </x:c>
      <x:c r="E233" t="str">
        <x:v>Tartu</x:v>
      </x:c>
      <x:c r="F233" s="38" t="n">
        <x:v>46173</x:v>
      </x:c>
      <x:c r="G233" t="str">
        <x:v>Wireless Mouse</x:v>
      </x:c>
      <x:c r="H233" t="str">
        <x:v>Electronics</x:v>
      </x:c>
      <x:c r="I233" s="40" t="n">
        <x:v>76.24</x:v>
      </x:c>
      <x:c r="J233" t="str">
        <x:v>REFUNDED</x:v>
      </x:c>
      <x:c r="K233" t="str">
        <x:v>Duplicate</x:v>
      </x:c>
      <x:c r="L233" t="str">
        <x:v>OK</x:v>
      </x:c>
    </x:row>
    <x:row r="234">
      <x:c r="A234" t="str">
        <x:v>ORD-1230</x:v>
      </x:c>
      <x:c r="B234" t="str">
        <x:v>Sofia Morozova</x:v>
      </x:c>
      <x:c r="C234" t="str">
        <x:v>sofia.morozova93@gmail.com</x:v>
      </x:c>
      <x:c r="D234" t="str">
        <x:v>+3725141652</x:v>
      </x:c>
      <x:c r="E234" t="str">
        <x:v>Helsinki</x:v>
      </x:c>
      <x:c r="F234" s="38" t="n">
        <x:v>46127</x:v>
      </x:c>
      <x:c r="G234" t="str">
        <x:v>Wireless Mouse</x:v>
      </x:c>
      <x:c r="H234" t="str">
        <x:v>Electronics</x:v>
      </x:c>
      <x:c r="I234" s="40" t="n">
        <x:v>112.17</x:v>
      </x:c>
      <x:c r="J234" t="str">
        <x:v>CANCELLED</x:v>
      </x:c>
      <x:c r="K234" t="str">
        <x:v>Duplicate</x:v>
      </x:c>
      <x:c r="L234" t="str">
        <x:v>OK</x:v>
      </x:c>
    </x:row>
  </x:sheetData>
  <x:mergeCells>
    <x:mergeCell ref="A1:L1"/>
    <x:mergeCell ref="A2:L2"/>
  </x:mergeCells>
  <x:conditionalFormatting sqref="L5:L234">
    <x:cfRule type="expression" dxfId="1" priority="2">
      <x:formula>L5="Needs review"</x:formula>
    </x:cfRule>
  </x:conditionalFormatting>
  <x:conditionalFormatting sqref="K5:K234">
    <x:cfRule type="expression" dxfId="7" priority="3">
      <x:formula>K5="Duplicate"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3afbf8789cd4ca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4" max="4" width="14" hidden="0" customWidth="1"/>
    <x:col min="5" max="5" width="14" hidden="0" customWidth="1"/>
    <x:col min="7" max="7" width="14" hidden="0" customWidth="1"/>
    <x:col min="8" max="8" width="14" hidden="0" customWidth="1"/>
    <x:col min="3" max="3" width="14" hidden="0" customWidth="1"/>
    <x:col min="6" max="6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8" customHeight="1">
      <x:c r="A1" s="5" t="str">
        <x:v>Case 1 — Data Cleaning Dashboard</x:v>
      </x:c>
    </x:row>
    <x:row r="2" ht="34" customHeight="1">
      <x:c r="A2" s="12" t="str">
        <x:v>Business view after data cleanup: quality, revenue and category/status breakdown.</x:v>
      </x:c>
    </x:row>
    <x:row r="4">
      <x:c r="A4" s="46" t="str">
        <x:v>Total rows</x:v>
      </x:c>
      <x:c r="B4" s="24"/>
      <x:c r="C4" s="46" t="str">
        <x:v>Duplicates</x:v>
      </x:c>
      <x:c r="D4" s="24"/>
      <x:c r="E4" s="46" t="str">
        <x:v>Clean revenue</x:v>
      </x:c>
      <x:c r="F4" s="24"/>
      <x:c r="G4" s="46" t="str">
        <x:v>Needs review</x:v>
      </x:c>
      <x:c r="H4" s="24"/>
      <x:c r="I4" s="46" t="str">
        <x:v>Paid orders</x:v>
      </x:c>
      <x:c r="J4" s="24"/>
      <x:c r="K4" s="24"/>
      <x:c r="L4" s="24"/>
    </x:row>
    <x:row r="5">
      <x:c r="A5" s="94" t="n">
        <x:f>COUNTA(DC_Clean!A5:A234)</x:f>
        <x:v>230</x:v>
      </x:c>
      <x:c r="B5" s="24"/>
      <x:c r="C5" s="94" t="n">
        <x:f>COUNTIF(DC_Clean!K5:K234,"Duplicate")</x:f>
        <x:v>10</x:v>
      </x:c>
      <x:c r="D5" s="24"/>
      <x:c r="E5" s="95" t="n">
        <x:f>SUMIF(DC_Clean!J5:J234,"PAID",DC_Clean!I5:I234)</x:f>
        <x:v>4598.579999999998</x:v>
      </x:c>
      <x:c r="F5" s="24"/>
      <x:c r="G5" s="94" t="n">
        <x:f>COUNTIF(DC_Clean!L5:L234,"Needs review")</x:f>
        <x:v>0</x:v>
      </x:c>
      <x:c r="H5" s="24"/>
      <x:c r="I5" s="94" t="n">
        <x:f>COUNTIF(DC_Clean!J5:J234,"PAID")</x:f>
        <x:v>81</x:v>
      </x:c>
      <x:c r="J5" s="24"/>
      <x:c r="K5" s="24"/>
      <x:c r="L5" s="24"/>
    </x:row>
    <x:row r="8">
      <x:c r="A8" s="32" t="str">
        <x:v>Status</x:v>
      </x:c>
      <x:c r="B8" s="32" t="str">
        <x:v>Orders</x:v>
      </x:c>
      <x:c r="D8" s="32" t="str">
        <x:v>Category</x:v>
      </x:c>
      <x:c r="E8" s="32" t="str">
        <x:v>Revenue</x:v>
      </x:c>
      <x:c r="G8" s="32" t="str">
        <x:v>City</x:v>
      </x:c>
      <x:c r="H8" s="32" t="str">
        <x:v>Paid revenue</x:v>
      </x:c>
    </x:row>
    <x:row r="9">
      <x:c r="A9" t="str">
        <x:v>PAID</x:v>
      </x:c>
      <x:c r="B9" t="n">
        <x:f>COUNTIF(DC_Clean!$J$5:$J$234,A9)</x:f>
        <x:v>81</x:v>
      </x:c>
      <x:c r="D9" t="str">
        <x:v>Electronics</x:v>
      </x:c>
      <x:c r="E9" s="64" t="n">
        <x:f>SUMIFS(DC_Clean!$I$5:$I$234,DC_Clean!$H$5:$H$234,D9,DC_Clean!$J$5:$J$234,"PAID")</x:f>
        <x:v>1332.69</x:v>
      </x:c>
      <x:c r="G9" t="str">
        <x:v>Helsinki</x:v>
      </x:c>
      <x:c r="H9" s="64" t="n">
        <x:f>SUMIFS(DC_Clean!$I$5:$I$234,DC_Clean!$E$5:$E$234,G9,DC_Clean!$J$5:$J$234,"PAID")</x:f>
        <x:v>893.14</x:v>
      </x:c>
    </x:row>
    <x:row r="10">
      <x:c r="A10" t="str">
        <x:v>PENDING</x:v>
      </x:c>
      <x:c r="B10" t="n">
        <x:f>COUNTIF(DC_Clean!$J$5:$J$234,A10)</x:f>
        <x:v>39</x:v>
      </x:c>
      <x:c r="D10" t="str">
        <x:v>Food</x:v>
      </x:c>
      <x:c r="E10" s="64" t="n">
        <x:f>SUMIFS(DC_Clean!$I$5:$I$234,DC_Clean!$H$5:$H$234,D10,DC_Clean!$J$5:$J$234,"PAID")</x:f>
        <x:v>836.5899999999999</x:v>
      </x:c>
      <x:c r="G10" t="str">
        <x:v>Riga</x:v>
      </x:c>
      <x:c r="H10" s="64" t="n">
        <x:f>SUMIFS(DC_Clean!$I$5:$I$234,DC_Clean!$E$5:$E$234,G10,DC_Clean!$J$5:$J$234,"PAID")</x:f>
        <x:v>835.6800000000001</x:v>
      </x:c>
    </x:row>
    <x:row r="11">
      <x:c r="A11" t="str">
        <x:v>CANCELLED</x:v>
      </x:c>
      <x:c r="B11" t="n">
        <x:f>COUNTIF(DC_Clean!$J$5:$J$234,A11)</x:f>
        <x:v>61</x:v>
      </x:c>
      <x:c r="D11" t="str">
        <x:v>Home</x:v>
      </x:c>
      <x:c r="E11" s="64" t="n">
        <x:f>SUMIFS(DC_Clean!$I$5:$I$234,DC_Clean!$H$5:$H$234,D11,DC_Clean!$J$5:$J$234,"PAID")</x:f>
        <x:v>1120.34</x:v>
      </x:c>
      <x:c r="G11" t="str">
        <x:v>Tallinn</x:v>
      </x:c>
      <x:c r="H11" s="64" t="n">
        <x:f>SUMIFS(DC_Clean!$I$5:$I$234,DC_Clean!$E$5:$E$234,G11,DC_Clean!$J$5:$J$234,"PAID")</x:f>
        <x:v>347.3999999999999</x:v>
      </x:c>
    </x:row>
    <x:row r="12">
      <x:c r="A12" t="str">
        <x:v>REFUNDED</x:v>
      </x:c>
      <x:c r="B12" t="n">
        <x:f>COUNTIF(DC_Clean!$J$5:$J$234,A12)</x:f>
        <x:v>49</x:v>
      </x:c>
      <x:c r="D12" t="str">
        <x:v>Office</x:v>
      </x:c>
      <x:c r="E12" s="64" t="n">
        <x:f>SUMIFS(DC_Clean!$I$5:$I$234,DC_Clean!$H$5:$H$234,D12,DC_Clean!$J$5:$J$234,"PAID")</x:f>
        <x:v>120.52000000000001</x:v>
      </x:c>
      <x:c r="G12" t="str">
        <x:v>Tartu</x:v>
      </x:c>
      <x:c r="H12" s="64" t="n">
        <x:f>SUMIFS(DC_Clean!$I$5:$I$234,DC_Clean!$E$5:$E$234,G12,DC_Clean!$J$5:$J$234,"PAID")</x:f>
        <x:v>745.2</x:v>
      </x:c>
    </x:row>
    <x:row r="13">
      <x:c r="D13" t="str">
        <x:v>Sports</x:v>
      </x:c>
      <x:c r="E13" s="64" t="n">
        <x:f>SUMIFS(DC_Clean!$I$5:$I$234,DC_Clean!$H$5:$H$234,D13,DC_Clean!$J$5:$J$234,"PAID")</x:f>
        <x:v>1188.44</x:v>
      </x:c>
      <x:c r="G13" t="str">
        <x:v>Vilnius</x:v>
      </x:c>
      <x:c r="H13" s="64" t="n">
        <x:f>SUMIFS(DC_Clean!$I$5:$I$234,DC_Clean!$E$5:$E$234,G13,DC_Clean!$J$5:$J$234,"PAID")</x:f>
        <x:v>1110.55</x:v>
      </x:c>
    </x:row>
    <x:row r="14">
      <x:c r="E14" s="64"/>
      <x:c r="G14" t="str">
        <x:v>Warsaw</x:v>
      </x:c>
      <x:c r="H14" s="64" t="n">
        <x:f>SUMIFS(DC_Clean!$I$5:$I$234,DC_Clean!$E$5:$E$234,G14,DC_Clean!$J$5:$J$234,"PAID")</x:f>
        <x:v>666.6099999999999</x:v>
      </x:c>
    </x:row>
    <x:row r="15">
      <x:c r="E15" s="64"/>
      <x:c r="H15" s="64"/>
    </x:row>
    <x:row r="16">
      <x:c r="E16" s="64"/>
      <x:c r="H16" s="64"/>
    </x:row>
    <x:row r="17">
      <x:c r="E17" s="64"/>
      <x:c r="H17" s="64"/>
    </x:row>
    <x:row r="18">
      <x:c r="E18" s="64"/>
      <x:c r="H18" s="64"/>
    </x:row>
    <x:row r="19">
      <x:c r="E19" s="64"/>
      <x:c r="H19" s="64"/>
    </x:row>
    <x:row r="20">
      <x:c r="E20" s="64"/>
      <x:c r="H20" s="64"/>
    </x:row>
  </x:sheetData>
  <x:mergeCells>
    <x:mergeCell ref="A1:J1"/>
    <x:mergeCell ref="A2:J2"/>
    <x:mergeCell ref="A4:B4"/>
    <x:mergeCell ref="A5:B5"/>
    <x:mergeCell ref="C4:D4"/>
    <x:mergeCell ref="C5:D5"/>
    <x:mergeCell ref="E4:F4"/>
    <x:mergeCell ref="E5:F5"/>
    <x:mergeCell ref="G4:H4"/>
    <x:mergeCell ref="G5:H5"/>
    <x:mergeCell ref="I4:J4"/>
    <x:mergeCell ref="I5:J5"/>
  </x:mergeCells>
  <x:pageMargins left="0.7" right="0.7" top="0.75" bottom="0.75" header="0.3" footer="0.3"/>
  <x:drawing xmlns:r="http://schemas.openxmlformats.org/officeDocument/2006/relationships" r:id="Rd6171bc7e4d24252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4" hidden="0" customWidth="1"/>
    <x:col min="5" max="5" width="16" hidden="0" customWidth="1"/>
    <x:col min="6" max="6" width="22" hidden="0" customWidth="1"/>
    <x:col min="7" max="7" width="10" hidden="0" customWidth="1"/>
    <x:col min="8" max="8" width="12" hidden="0" customWidth="1"/>
    <x:col min="9" max="9" width="12" hidden="0" customWidth="1"/>
    <x:col min="10" max="10" width="14" hidden="0" customWidth="1"/>
    <x:col min="11" max="11" width="12" hidden="0" customWidth="1"/>
    <x:col min="12" max="12" width="12" hidden="0" customWidth="1"/>
  </x:cols>
  <x:sheetData>
    <x:row r="1" ht="28" customHeight="1">
      <x:c r="A1" s="5" t="str">
        <x:v>Case 2 — Sales Transactions</x:v>
      </x:c>
    </x:row>
    <x:row r="2" ht="34" customHeight="1">
      <x:c r="A2" s="12" t="str">
        <x:v>Synthetic sales data for dashboard/KPI reporting case.</x:v>
      </x:c>
    </x:row>
    <x:row r="4">
      <x:c r="A4" s="32" t="str">
        <x:v>Date</x:v>
      </x:c>
      <x:c r="B4" s="32" t="str">
        <x:v>Month</x:v>
      </x:c>
      <x:c r="C4" s="32" t="str">
        <x:v>Region</x:v>
      </x:c>
      <x:c r="D4" s="32" t="str">
        <x:v>Manager</x:v>
      </x:c>
      <x:c r="E4" s="32" t="str">
        <x:v>Category</x:v>
      </x:c>
      <x:c r="F4" s="32" t="str">
        <x:v>Product</x:v>
      </x:c>
      <x:c r="G4" s="32" t="str">
        <x:v>Units</x:v>
      </x:c>
      <x:c r="H4" s="32" t="str">
        <x:v>Unit Price</x:v>
      </x:c>
      <x:c r="I4" s="32" t="str">
        <x:v>Discount %</x:v>
      </x:c>
      <x:c r="J4" s="32" t="str">
        <x:v>Revenue</x:v>
      </x:c>
      <x:c r="K4" s="32" t="str">
        <x:v>Cost</x:v>
      </x:c>
      <x:c r="L4" s="32" t="str">
        <x:v>Profit</x:v>
      </x:c>
    </x:row>
    <x:row r="5">
      <x:c r="A5" s="38" t="n">
        <x:v>46102</x:v>
      </x:c>
      <x:c r="B5" t="str">
        <x:v>2026-03</x:v>
      </x:c>
      <x:c r="C5" t="str">
        <x:v>Lithuania</x:v>
      </x:c>
      <x:c r="D5" t="str">
        <x:v>Anna</x:v>
      </x:c>
      <x:c r="E5" t="str">
        <x:v>Services</x:v>
      </x:c>
      <x:c r="F5" t="str">
        <x:v>Setup Package</x:v>
      </x:c>
      <x:c r="G5" t="n">
        <x:v>8</x:v>
      </x:c>
      <x:c r="H5" s="40" t="n">
        <x:v>448.47</x:v>
      </x:c>
      <x:c r="I5" s="66" t="n">
        <x:v>0.05</x:v>
      </x:c>
      <x:c r="J5" s="40" t="n">
        <x:v>3408.37</x:v>
      </x:c>
      <x:c r="K5" s="40" t="n">
        <x:v>1280</x:v>
      </x:c>
      <x:c r="L5" s="40" t="n">
        <x:v>2128.37</x:v>
      </x:c>
    </x:row>
    <x:row r="6">
      <x:c r="A6" s="38" t="n">
        <x:v>46093</x:v>
      </x:c>
      <x:c r="B6" t="str">
        <x:v>2026-03</x:v>
      </x:c>
      <x:c r="C6" t="str">
        <x:v>Finland</x:v>
      </x:c>
      <x:c r="D6" t="str">
        <x:v>Daria</x:v>
      </x:c>
      <x:c r="E6" t="str">
        <x:v>Digital</x:v>
      </x:c>
      <x:c r="F6" t="str">
        <x:v>Dashboard Template</x:v>
      </x:c>
      <x:c r="G6" t="n">
        <x:v>4</x:v>
      </x:c>
      <x:c r="H6" s="40" t="n">
        <x:v>74.73</x:v>
      </x:c>
      <x:c r="I6" s="66" t="n">
        <x:v>0</x:v>
      </x:c>
      <x:c r="J6" s="40" t="n">
        <x:v>298.92</x:v>
      </x:c>
      <x:c r="K6" s="40" t="n">
        <x:v>32</x:v>
      </x:c>
      <x:c r="L6" s="40" t="n">
        <x:v>266.92</x:v>
      </x:c>
    </x:row>
    <x:row r="7">
      <x:c r="A7" s="38" t="n">
        <x:v>46177</x:v>
      </x:c>
      <x:c r="B7" t="str">
        <x:v>2026-06</x:v>
      </x:c>
      <x:c r="C7" t="str">
        <x:v>Lithuania</x:v>
      </x:c>
      <x:c r="D7" t="str">
        <x:v>Maria</x:v>
      </x:c>
      <x:c r="E7" t="str">
        <x:v>Education</x:v>
      </x:c>
      <x:c r="F7" t="str">
        <x:v>Training Session</x:v>
      </x:c>
      <x:c r="G7" t="n">
        <x:v>3</x:v>
      </x:c>
      <x:c r="H7" s="40" t="n">
        <x:v>207.13</x:v>
      </x:c>
      <x:c r="I7" s="66" t="n">
        <x:v>0.05</x:v>
      </x:c>
      <x:c r="J7" s="40" t="n">
        <x:v>590.32</x:v>
      </x:c>
      <x:c r="K7" s="40" t="n">
        <x:v>210</x:v>
      </x:c>
      <x:c r="L7" s="40" t="n">
        <x:v>380.32</x:v>
      </x:c>
    </x:row>
    <x:row r="8">
      <x:c r="A8" s="38" t="n">
        <x:v>46147</x:v>
      </x:c>
      <x:c r="B8" t="str">
        <x:v>2026-05</x:v>
      </x:c>
      <x:c r="C8" t="str">
        <x:v>Poland</x:v>
      </x:c>
      <x:c r="D8" t="str">
        <x:v>Sofia</x:v>
      </x:c>
      <x:c r="E8" t="str">
        <x:v>Digital</x:v>
      </x:c>
      <x:c r="F8" t="str">
        <x:v>Dashboard Template</x:v>
      </x:c>
      <x:c r="G8" t="n">
        <x:v>4</x:v>
      </x:c>
      <x:c r="H8" s="40" t="n">
        <x:v>78.38</x:v>
      </x:c>
      <x:c r="I8" s="66" t="n">
        <x:v>0.05</x:v>
      </x:c>
      <x:c r="J8" s="40" t="n">
        <x:v>297.84</x:v>
      </x:c>
      <x:c r="K8" s="40" t="n">
        <x:v>32</x:v>
      </x:c>
      <x:c r="L8" s="40" t="n">
        <x:v>265.84</x:v>
      </x:c>
    </x:row>
    <x:row r="9">
      <x:c r="A9" s="38" t="n">
        <x:v>46135</x:v>
      </x:c>
      <x:c r="B9" t="str">
        <x:v>2026-04</x:v>
      </x:c>
      <x:c r="C9" t="str">
        <x:v>Latvia</x:v>
      </x:c>
      <x:c r="D9" t="str">
        <x:v>Maria</x:v>
      </x:c>
      <x:c r="E9" t="str">
        <x:v>Education</x:v>
      </x:c>
      <x:c r="F9" t="str">
        <x:v>Training Session</x:v>
      </x:c>
      <x:c r="G9" t="n">
        <x:v>4</x:v>
      </x:c>
      <x:c r="H9" s="40" t="n">
        <x:v>231.9</x:v>
      </x:c>
      <x:c r="I9" s="66" t="n">
        <x:v>0</x:v>
      </x:c>
      <x:c r="J9" s="40" t="n">
        <x:v>927.6</x:v>
      </x:c>
      <x:c r="K9" s="40" t="n">
        <x:v>280</x:v>
      </x:c>
      <x:c r="L9" s="40" t="n">
        <x:v>647.6</x:v>
      </x:c>
    </x:row>
    <x:row r="10">
      <x:c r="A10" s="38" t="n">
        <x:v>46163</x:v>
      </x:c>
      <x:c r="B10" t="str">
        <x:v>2026-05</x:v>
      </x:c>
      <x:c r="C10" t="str">
        <x:v>Latvia</x:v>
      </x:c>
      <x:c r="D10" t="str">
        <x:v>Sofia</x:v>
      </x:c>
      <x:c r="E10" t="str">
        <x:v>Services</x:v>
      </x:c>
      <x:c r="F10" t="str">
        <x:v>Consulting 1h</x:v>
      </x:c>
      <x:c r="G10" t="n">
        <x:v>2</x:v>
      </x:c>
      <x:c r="H10" s="40" t="n">
        <x:v>163.47</x:v>
      </x:c>
      <x:c r="I10" s="66" t="n">
        <x:v>0</x:v>
      </x:c>
      <x:c r="J10" s="40" t="n">
        <x:v>326.94</x:v>
      </x:c>
      <x:c r="K10" s="40" t="n">
        <x:v>110</x:v>
      </x:c>
      <x:c r="L10" s="40" t="n">
        <x:v>216.94</x:v>
      </x:c>
    </x:row>
    <x:row r="11">
      <x:c r="A11" s="38" t="n">
        <x:v>46194</x:v>
      </x:c>
      <x:c r="B11" t="str">
        <x:v>2026-06</x:v>
      </x:c>
      <x:c r="C11" t="str">
        <x:v>Finland</x:v>
      </x:c>
      <x:c r="D11" t="str">
        <x:v>Anna</x:v>
      </x:c>
      <x:c r="E11" t="str">
        <x:v>Digital</x:v>
      </x:c>
      <x:c r="F11" t="str">
        <x:v>CRM Template</x:v>
      </x:c>
      <x:c r="G11" t="n">
        <x:v>1</x:v>
      </x:c>
      <x:c r="H11" s="40" t="n">
        <x:v>81.94</x:v>
      </x:c>
      <x:c r="I11" s="66" t="n">
        <x:v>0.05</x:v>
      </x:c>
      <x:c r="J11" s="40" t="n">
        <x:v>77.84</x:v>
      </x:c>
      <x:c r="K11" s="40" t="n">
        <x:v>10</x:v>
      </x:c>
      <x:c r="L11" s="40" t="n">
        <x:v>67.84</x:v>
      </x:c>
    </x:row>
    <x:row r="12">
      <x:c r="A12" s="38" t="n">
        <x:v>46103</x:v>
      </x:c>
      <x:c r="B12" t="str">
        <x:v>2026-03</x:v>
      </x:c>
      <x:c r="C12" t="str">
        <x:v>Poland</x:v>
      </x:c>
      <x:c r="D12" t="str">
        <x:v>Elena</x:v>
      </x:c>
      <x:c r="E12" t="str">
        <x:v>Digital</x:v>
      </x:c>
      <x:c r="F12" t="str">
        <x:v>Dashboard Template</x:v>
      </x:c>
      <x:c r="G12" t="n">
        <x:v>2</x:v>
      </x:c>
      <x:c r="H12" s="40" t="n">
        <x:v>73.27</x:v>
      </x:c>
      <x:c r="I12" s="66" t="n">
        <x:v>0</x:v>
      </x:c>
      <x:c r="J12" s="40" t="n">
        <x:v>146.54</x:v>
      </x:c>
      <x:c r="K12" s="40" t="n">
        <x:v>16</x:v>
      </x:c>
      <x:c r="L12" s="40" t="n">
        <x:v>130.54</x:v>
      </x:c>
    </x:row>
    <x:row r="13">
      <x:c r="A13" s="38" t="n">
        <x:v>46029</x:v>
      </x:c>
      <x:c r="B13" t="str">
        <x:v>2026-01</x:v>
      </x:c>
      <x:c r="C13" t="str">
        <x:v>Finland</x:v>
      </x:c>
      <x:c r="D13" t="str">
        <x:v>Daria</x:v>
      </x:c>
      <x:c r="E13" t="str">
        <x:v>Digital</x:v>
      </x:c>
      <x:c r="F13" t="str">
        <x:v>Dashboard Template</x:v>
      </x:c>
      <x:c r="G13" t="n">
        <x:v>2</x:v>
      </x:c>
      <x:c r="H13" s="40" t="n">
        <x:v>71.6</x:v>
      </x:c>
      <x:c r="I13" s="66" t="n">
        <x:v>0.1</x:v>
      </x:c>
      <x:c r="J13" s="40" t="n">
        <x:v>128.88</x:v>
      </x:c>
      <x:c r="K13" s="40" t="n">
        <x:v>16</x:v>
      </x:c>
      <x:c r="L13" s="40" t="n">
        <x:v>112.88</x:v>
      </x:c>
    </x:row>
    <x:row r="14">
      <x:c r="A14" s="38" t="n">
        <x:v>46115</x:v>
      </x:c>
      <x:c r="B14" t="str">
        <x:v>2026-04</x:v>
      </x:c>
      <x:c r="C14" t="str">
        <x:v>Finland</x:v>
      </x:c>
      <x:c r="D14" t="str">
        <x:v>Sofia</x:v>
      </x:c>
      <x:c r="E14" t="str">
        <x:v>Subscription</x:v>
      </x:c>
      <x:c r="F14" t="str">
        <x:v>Pro Plan</x:v>
      </x:c>
      <x:c r="G14" t="n">
        <x:v>3</x:v>
      </x:c>
      <x:c r="H14" s="40" t="n">
        <x:v>132.26</x:v>
      </x:c>
      <x:c r="I14" s="66" t="n">
        <x:v>0.05</x:v>
      </x:c>
      <x:c r="J14" s="40" t="n">
        <x:v>376.94</x:v>
      </x:c>
      <x:c r="K14" s="40" t="n">
        <x:v>135</x:v>
      </x:c>
      <x:c r="L14" s="40" t="n">
        <x:v>241.94</x:v>
      </x:c>
    </x:row>
    <x:row r="15">
      <x:c r="A15" s="38" t="n">
        <x:v>46152</x:v>
      </x:c>
      <x:c r="B15" t="str">
        <x:v>2026-05</x:v>
      </x:c>
      <x:c r="C15" t="str">
        <x:v>Latvia</x:v>
      </x:c>
      <x:c r="D15" t="str">
        <x:v>Anna</x:v>
      </x:c>
      <x:c r="E15" t="str">
        <x:v>Services</x:v>
      </x:c>
      <x:c r="F15" t="str">
        <x:v>Setup Package</x:v>
      </x:c>
      <x:c r="G15" t="n">
        <x:v>1</x:v>
      </x:c>
      <x:c r="H15" s="40" t="n">
        <x:v>439.73</x:v>
      </x:c>
      <x:c r="I15" s="66" t="n">
        <x:v>0.1</x:v>
      </x:c>
      <x:c r="J15" s="40" t="n">
        <x:v>395.76</x:v>
      </x:c>
      <x:c r="K15" s="40" t="n">
        <x:v>160</x:v>
      </x:c>
      <x:c r="L15" s="40" t="n">
        <x:v>235.76</x:v>
      </x:c>
    </x:row>
    <x:row r="16">
      <x:c r="A16" s="38" t="n">
        <x:v>46161</x:v>
      </x:c>
      <x:c r="B16" t="str">
        <x:v>2026-05</x:v>
      </x:c>
      <x:c r="C16" t="str">
        <x:v>Lithuania</x:v>
      </x:c>
      <x:c r="D16" t="str">
        <x:v>Olga</x:v>
      </x:c>
      <x:c r="E16" t="str">
        <x:v>Education</x:v>
      </x:c>
      <x:c r="F16" t="str">
        <x:v>Training Session</x:v>
      </x:c>
      <x:c r="G16" t="n">
        <x:v>2</x:v>
      </x:c>
      <x:c r="H16" s="40" t="n">
        <x:v>207.01</x:v>
      </x:c>
      <x:c r="I16" s="66" t="n">
        <x:v>0</x:v>
      </x:c>
      <x:c r="J16" s="40" t="n">
        <x:v>414.02</x:v>
      </x:c>
      <x:c r="K16" s="40" t="n">
        <x:v>140</x:v>
      </x:c>
      <x:c r="L16" s="40" t="n">
        <x:v>274.02</x:v>
      </x:c>
    </x:row>
    <x:row r="17">
      <x:c r="A17" s="38" t="n">
        <x:v>46050</x:v>
      </x:c>
      <x:c r="B17" t="str">
        <x:v>2026-01</x:v>
      </x:c>
      <x:c r="C17" t="str">
        <x:v>Finland</x:v>
      </x:c>
      <x:c r="D17" t="str">
        <x:v>Anna</x:v>
      </x:c>
      <x:c r="E17" t="str">
        <x:v>Services</x:v>
      </x:c>
      <x:c r="F17" t="str">
        <x:v>Setup Package</x:v>
      </x:c>
      <x:c r="G17" t="n">
        <x:v>7</x:v>
      </x:c>
      <x:c r="H17" s="40" t="n">
        <x:v>392.4</x:v>
      </x:c>
      <x:c r="I17" s="66" t="n">
        <x:v>0.15</x:v>
      </x:c>
      <x:c r="J17" s="40" t="n">
        <x:v>2334.78</x:v>
      </x:c>
      <x:c r="K17" s="40" t="n">
        <x:v>1120</x:v>
      </x:c>
      <x:c r="L17" s="40" t="n">
        <x:v>1214.78</x:v>
      </x:c>
    </x:row>
    <x:row r="18">
      <x:c r="A18" s="38" t="n">
        <x:v>46159</x:v>
      </x:c>
      <x:c r="B18" t="str">
        <x:v>2026-05</x:v>
      </x:c>
      <x:c r="C18" t="str">
        <x:v>Estonia</x:v>
      </x:c>
      <x:c r="D18" t="str">
        <x:v>Daria</x:v>
      </x:c>
      <x:c r="E18" t="str">
        <x:v>Subscription</x:v>
      </x:c>
      <x:c r="F18" t="str">
        <x:v>Pro Plan</x:v>
      </x:c>
      <x:c r="G18" t="n">
        <x:v>6</x:v>
      </x:c>
      <x:c r="H18" s="40" t="n">
        <x:v>121.24</x:v>
      </x:c>
      <x:c r="I18" s="66" t="n">
        <x:v>0.05</x:v>
      </x:c>
      <x:c r="J18" s="40" t="n">
        <x:v>691.07</x:v>
      </x:c>
      <x:c r="K18" s="40" t="n">
        <x:v>270</x:v>
      </x:c>
      <x:c r="L18" s="40" t="n">
        <x:v>421.07</x:v>
      </x:c>
    </x:row>
    <x:row r="19">
      <x:c r="A19" s="38" t="n">
        <x:v>46153</x:v>
      </x:c>
      <x:c r="B19" t="str">
        <x:v>2026-05</x:v>
      </x:c>
      <x:c r="C19" t="str">
        <x:v>Estonia</x:v>
      </x:c>
      <x:c r="D19" t="str">
        <x:v>Olga</x:v>
      </x:c>
      <x:c r="E19" t="str">
        <x:v>Services</x:v>
      </x:c>
      <x:c r="F19" t="str">
        <x:v>Consulting 1h</x:v>
      </x:c>
      <x:c r="G19" t="n">
        <x:v>7</x:v>
      </x:c>
      <x:c r="H19" s="40" t="n">
        <x:v>147.18</x:v>
      </x:c>
      <x:c r="I19" s="66" t="n">
        <x:v>0</x:v>
      </x:c>
      <x:c r="J19" s="40" t="n">
        <x:v>1030.26</x:v>
      </x:c>
      <x:c r="K19" s="40" t="n">
        <x:v>385</x:v>
      </x:c>
      <x:c r="L19" s="40" t="n">
        <x:v>645.26</x:v>
      </x:c>
    </x:row>
    <x:row r="20">
      <x:c r="A20" s="38" t="n">
        <x:v>46025</x:v>
      </x:c>
      <x:c r="B20" t="str">
        <x:v>2026-01</x:v>
      </x:c>
      <x:c r="C20" t="str">
        <x:v>Poland</x:v>
      </x:c>
      <x:c r="D20" t="str">
        <x:v>Sofia</x:v>
      </x:c>
      <x:c r="E20" t="str">
        <x:v>Subscription</x:v>
      </x:c>
      <x:c r="F20" t="str">
        <x:v>Pro Plan</x:v>
      </x:c>
      <x:c r="G20" t="n">
        <x:v>8</x:v>
      </x:c>
      <x:c r="H20" s="40" t="n">
        <x:v>140.69</x:v>
      </x:c>
      <x:c r="I20" s="66" t="n">
        <x:v>0.1</x:v>
      </x:c>
      <x:c r="J20" s="40" t="n">
        <x:v>1012.97</x:v>
      </x:c>
      <x:c r="K20" s="40" t="n">
        <x:v>360</x:v>
      </x:c>
      <x:c r="L20" s="40" t="n">
        <x:v>652.97</x:v>
      </x:c>
    </x:row>
    <x:row r="21">
      <x:c r="A21" s="38" t="n">
        <x:v>46195</x:v>
      </x:c>
      <x:c r="B21" t="str">
        <x:v>2026-06</x:v>
      </x:c>
      <x:c r="C21" t="str">
        <x:v>Latvia</x:v>
      </x:c>
      <x:c r="D21" t="str">
        <x:v>Elena</x:v>
      </x:c>
      <x:c r="E21" t="str">
        <x:v>Subscription</x:v>
      </x:c>
      <x:c r="F21" t="str">
        <x:v>Pro Plan</x:v>
      </x:c>
      <x:c r="G21" t="n">
        <x:v>7</x:v>
      </x:c>
      <x:c r="H21" s="40" t="n">
        <x:v>133.84</x:v>
      </x:c>
      <x:c r="I21" s="66" t="n">
        <x:v>0.15</x:v>
      </x:c>
      <x:c r="J21" s="40" t="n">
        <x:v>796.35</x:v>
      </x:c>
      <x:c r="K21" s="40" t="n">
        <x:v>315</x:v>
      </x:c>
      <x:c r="L21" s="40" t="n">
        <x:v>481.35</x:v>
      </x:c>
    </x:row>
    <x:row r="22">
      <x:c r="A22" s="38" t="n">
        <x:v>46191</x:v>
      </x:c>
      <x:c r="B22" t="str">
        <x:v>2026-06</x:v>
      </x:c>
      <x:c r="C22" t="str">
        <x:v>Lithuania</x:v>
      </x:c>
      <x:c r="D22" t="str">
        <x:v>Olga</x:v>
      </x:c>
      <x:c r="E22" t="str">
        <x:v>Subscription</x:v>
      </x:c>
      <x:c r="F22" t="str">
        <x:v>Pro Plan</x:v>
      </x:c>
      <x:c r="G22" t="n">
        <x:v>3</x:v>
      </x:c>
      <x:c r="H22" s="40" t="n">
        <x:v>148.25</x:v>
      </x:c>
      <x:c r="I22" s="66" t="n">
        <x:v>0.1</x:v>
      </x:c>
      <x:c r="J22" s="40" t="n">
        <x:v>400.28</x:v>
      </x:c>
      <x:c r="K22" s="40" t="n">
        <x:v>135</x:v>
      </x:c>
      <x:c r="L22" s="40" t="n">
        <x:v>265.28</x:v>
      </x:c>
    </x:row>
    <x:row r="23">
      <x:c r="A23" s="38" t="n">
        <x:v>46061</x:v>
      </x:c>
      <x:c r="B23" t="str">
        <x:v>2026-02</x:v>
      </x:c>
      <x:c r="C23" t="str">
        <x:v>Estonia</x:v>
      </x:c>
      <x:c r="D23" t="str">
        <x:v>Sofia</x:v>
      </x:c>
      <x:c r="E23" t="str">
        <x:v>Services</x:v>
      </x:c>
      <x:c r="F23" t="str">
        <x:v>Setup Package</x:v>
      </x:c>
      <x:c r="G23" t="n">
        <x:v>2</x:v>
      </x:c>
      <x:c r="H23" s="40" t="n">
        <x:v>376.45</x:v>
      </x:c>
      <x:c r="I23" s="66" t="n">
        <x:v>0.05</x:v>
      </x:c>
      <x:c r="J23" s="40" t="n">
        <x:v>715.25</x:v>
      </x:c>
      <x:c r="K23" s="40" t="n">
        <x:v>320</x:v>
      </x:c>
      <x:c r="L23" s="40" t="n">
        <x:v>395.25</x:v>
      </x:c>
    </x:row>
    <x:row r="24">
      <x:c r="A24" s="38" t="n">
        <x:v>46082</x:v>
      </x:c>
      <x:c r="B24" t="str">
        <x:v>2026-03</x:v>
      </x:c>
      <x:c r="C24" t="str">
        <x:v>Poland</x:v>
      </x:c>
      <x:c r="D24" t="str">
        <x:v>Daria</x:v>
      </x:c>
      <x:c r="E24" t="str">
        <x:v>Subscription</x:v>
      </x:c>
      <x:c r="F24" t="str">
        <x:v>Starter Kit</x:v>
      </x:c>
      <x:c r="G24" t="n">
        <x:v>1</x:v>
      </x:c>
      <x:c r="H24" s="40" t="n">
        <x:v>46.83</x:v>
      </x:c>
      <x:c r="I24" s="66" t="n">
        <x:v>0.15</x:v>
      </x:c>
      <x:c r="J24" s="40" t="n">
        <x:v>39.81</x:v>
      </x:c>
      <x:c r="K24" s="40" t="n">
        <x:v>20</x:v>
      </x:c>
      <x:c r="L24" s="40" t="n">
        <x:v>19.81</x:v>
      </x:c>
    </x:row>
    <x:row r="25">
      <x:c r="A25" s="38" t="n">
        <x:v>46142</x:v>
      </x:c>
      <x:c r="B25" t="str">
        <x:v>2026-04</x:v>
      </x:c>
      <x:c r="C25" t="str">
        <x:v>Finland</x:v>
      </x:c>
      <x:c r="D25" t="str">
        <x:v>Elena</x:v>
      </x:c>
      <x:c r="E25" t="str">
        <x:v>Subscription</x:v>
      </x:c>
      <x:c r="F25" t="str">
        <x:v>Starter Kit</x:v>
      </x:c>
      <x:c r="G25" t="n">
        <x:v>3</x:v>
      </x:c>
      <x:c r="H25" s="40" t="n">
        <x:v>54.71</x:v>
      </x:c>
      <x:c r="I25" s="66" t="n">
        <x:v>0</x:v>
      </x:c>
      <x:c r="J25" s="40" t="n">
        <x:v>164.13</x:v>
      </x:c>
      <x:c r="K25" s="40" t="n">
        <x:v>60</x:v>
      </x:c>
      <x:c r="L25" s="40" t="n">
        <x:v>104.13</x:v>
      </x:c>
    </x:row>
    <x:row r="26">
      <x:c r="A26" s="38" t="n">
        <x:v>46138</x:v>
      </x:c>
      <x:c r="B26" t="str">
        <x:v>2026-04</x:v>
      </x:c>
      <x:c r="C26" t="str">
        <x:v>Finland</x:v>
      </x:c>
      <x:c r="D26" t="str">
        <x:v>Maria</x:v>
      </x:c>
      <x:c r="E26" t="str">
        <x:v>Education</x:v>
      </x:c>
      <x:c r="F26" t="str">
        <x:v>Training Session</x:v>
      </x:c>
      <x:c r="G26" t="n">
        <x:v>4</x:v>
      </x:c>
      <x:c r="H26" s="40" t="n">
        <x:v>233.21</x:v>
      </x:c>
      <x:c r="I26" s="66" t="n">
        <x:v>0</x:v>
      </x:c>
      <x:c r="J26" s="40" t="n">
        <x:v>932.84</x:v>
      </x:c>
      <x:c r="K26" s="40" t="n">
        <x:v>280</x:v>
      </x:c>
      <x:c r="L26" s="40" t="n">
        <x:v>652.84</x:v>
      </x:c>
    </x:row>
    <x:row r="27">
      <x:c r="A27" s="38" t="n">
        <x:v>46173</x:v>
      </x:c>
      <x:c r="B27" t="str">
        <x:v>2026-05</x:v>
      </x:c>
      <x:c r="C27" t="str">
        <x:v>Latvia</x:v>
      </x:c>
      <x:c r="D27" t="str">
        <x:v>Sofia</x:v>
      </x:c>
      <x:c r="E27" t="str">
        <x:v>Digital</x:v>
      </x:c>
      <x:c r="F27" t="str">
        <x:v>CRM Template</x:v>
      </x:c>
      <x:c r="G27" t="n">
        <x:v>8</x:v>
      </x:c>
      <x:c r="H27" s="40" t="n">
        <x:v>89.77</x:v>
      </x:c>
      <x:c r="I27" s="66" t="n">
        <x:v>0.05</x:v>
      </x:c>
      <x:c r="J27" s="40" t="n">
        <x:v>682.25</x:v>
      </x:c>
      <x:c r="K27" s="40" t="n">
        <x:v>80</x:v>
      </x:c>
      <x:c r="L27" s="40" t="n">
        <x:v>602.25</x:v>
      </x:c>
    </x:row>
    <x:row r="28">
      <x:c r="A28" s="38" t="n">
        <x:v>46182</x:v>
      </x:c>
      <x:c r="B28" t="str">
        <x:v>2026-06</x:v>
      </x:c>
      <x:c r="C28" t="str">
        <x:v>Finland</x:v>
      </x:c>
      <x:c r="D28" t="str">
        <x:v>Sofia</x:v>
      </x:c>
      <x:c r="E28" t="str">
        <x:v>Subscription</x:v>
      </x:c>
      <x:c r="F28" t="str">
        <x:v>Starter Kit</x:v>
      </x:c>
      <x:c r="G28" t="n">
        <x:v>1</x:v>
      </x:c>
      <x:c r="H28" s="40" t="n">
        <x:v>49.79</x:v>
      </x:c>
      <x:c r="I28" s="66" t="n">
        <x:v>0.15</x:v>
      </x:c>
      <x:c r="J28" s="40" t="n">
        <x:v>42.32</x:v>
      </x:c>
      <x:c r="K28" s="40" t="n">
        <x:v>20</x:v>
      </x:c>
      <x:c r="L28" s="40" t="n">
        <x:v>22.32</x:v>
      </x:c>
    </x:row>
    <x:row r="29">
      <x:c r="A29" s="38" t="n">
        <x:v>46142</x:v>
      </x:c>
      <x:c r="B29" t="str">
        <x:v>2026-04</x:v>
      </x:c>
      <x:c r="C29" t="str">
        <x:v>Latvia</x:v>
      </x:c>
      <x:c r="D29" t="str">
        <x:v>Maria</x:v>
      </x:c>
      <x:c r="E29" t="str">
        <x:v>Services</x:v>
      </x:c>
      <x:c r="F29" t="str">
        <x:v>Consulting 1h</x:v>
      </x:c>
      <x:c r="G29" t="n">
        <x:v>5</x:v>
      </x:c>
      <x:c r="H29" s="40" t="n">
        <x:v>152.9</x:v>
      </x:c>
      <x:c r="I29" s="66" t="n">
        <x:v>0</x:v>
      </x:c>
      <x:c r="J29" s="40" t="n">
        <x:v>764.5</x:v>
      </x:c>
      <x:c r="K29" s="40" t="n">
        <x:v>275</x:v>
      </x:c>
      <x:c r="L29" s="40" t="n">
        <x:v>489.5</x:v>
      </x:c>
    </x:row>
    <x:row r="30">
      <x:c r="A30" s="38" t="n">
        <x:v>46102</x:v>
      </x:c>
      <x:c r="B30" t="str">
        <x:v>2026-03</x:v>
      </x:c>
      <x:c r="C30" t="str">
        <x:v>Latvia</x:v>
      </x:c>
      <x:c r="D30" t="str">
        <x:v>Elena</x:v>
      </x:c>
      <x:c r="E30" t="str">
        <x:v>Digital</x:v>
      </x:c>
      <x:c r="F30" t="str">
        <x:v>CRM Template</x:v>
      </x:c>
      <x:c r="G30" t="n">
        <x:v>6</x:v>
      </x:c>
      <x:c r="H30" s="40" t="n">
        <x:v>96.31</x:v>
      </x:c>
      <x:c r="I30" s="66" t="n">
        <x:v>0</x:v>
      </x:c>
      <x:c r="J30" s="40" t="n">
        <x:v>577.86</x:v>
      </x:c>
      <x:c r="K30" s="40" t="n">
        <x:v>60</x:v>
      </x:c>
      <x:c r="L30" s="40" t="n">
        <x:v>517.86</x:v>
      </x:c>
    </x:row>
    <x:row r="31">
      <x:c r="A31" s="38" t="n">
        <x:v>46079</x:v>
      </x:c>
      <x:c r="B31" t="str">
        <x:v>2026-02</x:v>
      </x:c>
      <x:c r="C31" t="str">
        <x:v>Poland</x:v>
      </x:c>
      <x:c r="D31" t="str">
        <x:v>Olga</x:v>
      </x:c>
      <x:c r="E31" t="str">
        <x:v>Digital</x:v>
      </x:c>
      <x:c r="F31" t="str">
        <x:v>CRM Template</x:v>
      </x:c>
      <x:c r="G31" t="n">
        <x:v>4</x:v>
      </x:c>
      <x:c r="H31" s="40" t="n">
        <x:v>81.25</x:v>
      </x:c>
      <x:c r="I31" s="66" t="n">
        <x:v>0</x:v>
      </x:c>
      <x:c r="J31" s="40" t="n">
        <x:v>325</x:v>
      </x:c>
      <x:c r="K31" s="40" t="n">
        <x:v>40</x:v>
      </x:c>
      <x:c r="L31" s="40" t="n">
        <x:v>285</x:v>
      </x:c>
    </x:row>
    <x:row r="32">
      <x:c r="A32" s="38" t="n">
        <x:v>46062</x:v>
      </x:c>
      <x:c r="B32" t="str">
        <x:v>2026-02</x:v>
      </x:c>
      <x:c r="C32" t="str">
        <x:v>Estonia</x:v>
      </x:c>
      <x:c r="D32" t="str">
        <x:v>Daria</x:v>
      </x:c>
      <x:c r="E32" t="str">
        <x:v>Education</x:v>
      </x:c>
      <x:c r="F32" t="str">
        <x:v>Training Session</x:v>
      </x:c>
      <x:c r="G32" t="n">
        <x:v>7</x:v>
      </x:c>
      <x:c r="H32" s="40" t="n">
        <x:v>231.85</x:v>
      </x:c>
      <x:c r="I32" s="66" t="n">
        <x:v>0.15</x:v>
      </x:c>
      <x:c r="J32" s="40" t="n">
        <x:v>1379.51</x:v>
      </x:c>
      <x:c r="K32" s="40" t="n">
        <x:v>490</x:v>
      </x:c>
      <x:c r="L32" s="40" t="n">
        <x:v>889.51</x:v>
      </x:c>
    </x:row>
    <x:row r="33">
      <x:c r="A33" s="38" t="n">
        <x:v>46065</x:v>
      </x:c>
      <x:c r="B33" t="str">
        <x:v>2026-02</x:v>
      </x:c>
      <x:c r="C33" t="str">
        <x:v>Latvia</x:v>
      </x:c>
      <x:c r="D33" t="str">
        <x:v>Elena</x:v>
      </x:c>
      <x:c r="E33" t="str">
        <x:v>Education</x:v>
      </x:c>
      <x:c r="F33" t="str">
        <x:v>Training Session</x:v>
      </x:c>
      <x:c r="G33" t="n">
        <x:v>6</x:v>
      </x:c>
      <x:c r="H33" s="40" t="n">
        <x:v>227.55</x:v>
      </x:c>
      <x:c r="I33" s="66" t="n">
        <x:v>0.15</x:v>
      </x:c>
      <x:c r="J33" s="40" t="n">
        <x:v>1160.51</x:v>
      </x:c>
      <x:c r="K33" s="40" t="n">
        <x:v>420</x:v>
      </x:c>
      <x:c r="L33" s="40" t="n">
        <x:v>740.51</x:v>
      </x:c>
    </x:row>
    <x:row r="34">
      <x:c r="A34" s="38" t="n">
        <x:v>46058</x:v>
      </x:c>
      <x:c r="B34" t="str">
        <x:v>2026-02</x:v>
      </x:c>
      <x:c r="C34" t="str">
        <x:v>Finland</x:v>
      </x:c>
      <x:c r="D34" t="str">
        <x:v>Sofia</x:v>
      </x:c>
      <x:c r="E34" t="str">
        <x:v>Digital</x:v>
      </x:c>
      <x:c r="F34" t="str">
        <x:v>CRM Template</x:v>
      </x:c>
      <x:c r="G34" t="n">
        <x:v>3</x:v>
      </x:c>
      <x:c r="H34" s="40" t="n">
        <x:v>87.42</x:v>
      </x:c>
      <x:c r="I34" s="66" t="n">
        <x:v>0.15</x:v>
      </x:c>
      <x:c r="J34" s="40" t="n">
        <x:v>222.92</x:v>
      </x:c>
      <x:c r="K34" s="40" t="n">
        <x:v>30</x:v>
      </x:c>
      <x:c r="L34" s="40" t="n">
        <x:v>192.92</x:v>
      </x:c>
    </x:row>
    <x:row r="35">
      <x:c r="A35" s="38" t="n">
        <x:v>46031</x:v>
      </x:c>
      <x:c r="B35" t="str">
        <x:v>2026-01</x:v>
      </x:c>
      <x:c r="C35" t="str">
        <x:v>Finland</x:v>
      </x:c>
      <x:c r="D35" t="str">
        <x:v>Elena</x:v>
      </x:c>
      <x:c r="E35" t="str">
        <x:v>Services</x:v>
      </x:c>
      <x:c r="F35" t="str">
        <x:v>Consulting 1h</x:v>
      </x:c>
      <x:c r="G35" t="n">
        <x:v>7</x:v>
      </x:c>
      <x:c r="H35" s="40" t="n">
        <x:v>144.38</x:v>
      </x:c>
      <x:c r="I35" s="66" t="n">
        <x:v>0.1</x:v>
      </x:c>
      <x:c r="J35" s="40" t="n">
        <x:v>909.59</x:v>
      </x:c>
      <x:c r="K35" s="40" t="n">
        <x:v>385</x:v>
      </x:c>
      <x:c r="L35" s="40" t="n">
        <x:v>524.59</x:v>
      </x:c>
    </x:row>
    <x:row r="36">
      <x:c r="A36" s="38" t="n">
        <x:v>46196</x:v>
      </x:c>
      <x:c r="B36" t="str">
        <x:v>2026-06</x:v>
      </x:c>
      <x:c r="C36" t="str">
        <x:v>Latvia</x:v>
      </x:c>
      <x:c r="D36" t="str">
        <x:v>Elena</x:v>
      </x:c>
      <x:c r="E36" t="str">
        <x:v>Education</x:v>
      </x:c>
      <x:c r="F36" t="str">
        <x:v>Training Session</x:v>
      </x:c>
      <x:c r="G36" t="n">
        <x:v>2</x:v>
      </x:c>
      <x:c r="H36" s="40" t="n">
        <x:v>212.03</x:v>
      </x:c>
      <x:c r="I36" s="66" t="n">
        <x:v>0</x:v>
      </x:c>
      <x:c r="J36" s="40" t="n">
        <x:v>424.06</x:v>
      </x:c>
      <x:c r="K36" s="40" t="n">
        <x:v>140</x:v>
      </x:c>
      <x:c r="L36" s="40" t="n">
        <x:v>284.06</x:v>
      </x:c>
    </x:row>
    <x:row r="37">
      <x:c r="A37" s="38" t="n">
        <x:v>46099</x:v>
      </x:c>
      <x:c r="B37" t="str">
        <x:v>2026-03</x:v>
      </x:c>
      <x:c r="C37" t="str">
        <x:v>Lithuania</x:v>
      </x:c>
      <x:c r="D37" t="str">
        <x:v>Daria</x:v>
      </x:c>
      <x:c r="E37" t="str">
        <x:v>Services</x:v>
      </x:c>
      <x:c r="F37" t="str">
        <x:v>Consulting 1h</x:v>
      </x:c>
      <x:c r="G37" t="n">
        <x:v>7</x:v>
      </x:c>
      <x:c r="H37" s="40" t="n">
        <x:v>169.13</x:v>
      </x:c>
      <x:c r="I37" s="66" t="n">
        <x:v>0.15</x:v>
      </x:c>
      <x:c r="J37" s="40" t="n">
        <x:v>1006.32</x:v>
      </x:c>
      <x:c r="K37" s="40" t="n">
        <x:v>385</x:v>
      </x:c>
      <x:c r="L37" s="40" t="n">
        <x:v>621.32</x:v>
      </x:c>
    </x:row>
    <x:row r="38">
      <x:c r="A38" s="38" t="n">
        <x:v>46067</x:v>
      </x:c>
      <x:c r="B38" t="str">
        <x:v>2026-02</x:v>
      </x:c>
      <x:c r="C38" t="str">
        <x:v>Poland</x:v>
      </x:c>
      <x:c r="D38" t="str">
        <x:v>Daria</x:v>
      </x:c>
      <x:c r="E38" t="str">
        <x:v>Digital</x:v>
      </x:c>
      <x:c r="F38" t="str">
        <x:v>CRM Template</x:v>
      </x:c>
      <x:c r="G38" t="n">
        <x:v>1</x:v>
      </x:c>
      <x:c r="H38" s="40" t="n">
        <x:v>93.25</x:v>
      </x:c>
      <x:c r="I38" s="66" t="n">
        <x:v>0.1</x:v>
      </x:c>
      <x:c r="J38" s="40" t="n">
        <x:v>83.92</x:v>
      </x:c>
      <x:c r="K38" s="40" t="n">
        <x:v>10</x:v>
      </x:c>
      <x:c r="L38" s="40" t="n">
        <x:v>73.92</x:v>
      </x:c>
    </x:row>
    <x:row r="39">
      <x:c r="A39" s="38" t="n">
        <x:v>46202</x:v>
      </x:c>
      <x:c r="B39" t="str">
        <x:v>2026-06</x:v>
      </x:c>
      <x:c r="C39" t="str">
        <x:v>Poland</x:v>
      </x:c>
      <x:c r="D39" t="str">
        <x:v>Olga</x:v>
      </x:c>
      <x:c r="E39" t="str">
        <x:v>Education</x:v>
      </x:c>
      <x:c r="F39" t="str">
        <x:v>Training Session</x:v>
      </x:c>
      <x:c r="G39" t="n">
        <x:v>5</x:v>
      </x:c>
      <x:c r="H39" s="40" t="n">
        <x:v>194.12</x:v>
      </x:c>
      <x:c r="I39" s="66" t="n">
        <x:v>0.05</x:v>
      </x:c>
      <x:c r="J39" s="40" t="n">
        <x:v>922.07</x:v>
      </x:c>
      <x:c r="K39" s="40" t="n">
        <x:v>350</x:v>
      </x:c>
      <x:c r="L39" s="40" t="n">
        <x:v>572.07</x:v>
      </x:c>
    </x:row>
    <x:row r="40">
      <x:c r="A40" s="38" t="n">
        <x:v>46037</x:v>
      </x:c>
      <x:c r="B40" t="str">
        <x:v>2026-01</x:v>
      </x:c>
      <x:c r="C40" t="str">
        <x:v>Finland</x:v>
      </x:c>
      <x:c r="D40" t="str">
        <x:v>Olga</x:v>
      </x:c>
      <x:c r="E40" t="str">
        <x:v>Digital</x:v>
      </x:c>
      <x:c r="F40" t="str">
        <x:v>CRM Template</x:v>
      </x:c>
      <x:c r="G40" t="n">
        <x:v>6</x:v>
      </x:c>
      <x:c r="H40" s="40" t="n">
        <x:v>81.58</x:v>
      </x:c>
      <x:c r="I40" s="66" t="n">
        <x:v>0.1</x:v>
      </x:c>
      <x:c r="J40" s="40" t="n">
        <x:v>440.53</x:v>
      </x:c>
      <x:c r="K40" s="40" t="n">
        <x:v>60</x:v>
      </x:c>
      <x:c r="L40" s="40" t="n">
        <x:v>380.53</x:v>
      </x:c>
    </x:row>
    <x:row r="41">
      <x:c r="A41" s="38" t="n">
        <x:v>46153</x:v>
      </x:c>
      <x:c r="B41" t="str">
        <x:v>2026-05</x:v>
      </x:c>
      <x:c r="C41" t="str">
        <x:v>Poland</x:v>
      </x:c>
      <x:c r="D41" t="str">
        <x:v>Maria</x:v>
      </x:c>
      <x:c r="E41" t="str">
        <x:v>Services</x:v>
      </x:c>
      <x:c r="F41" t="str">
        <x:v>Consulting 1h</x:v>
      </x:c>
      <x:c r="G41" t="n">
        <x:v>4</x:v>
      </x:c>
      <x:c r="H41" s="40" t="n">
        <x:v>137.71</x:v>
      </x:c>
      <x:c r="I41" s="66" t="n">
        <x:v>0</x:v>
      </x:c>
      <x:c r="J41" s="40" t="n">
        <x:v>550.84</x:v>
      </x:c>
      <x:c r="K41" s="40" t="n">
        <x:v>220</x:v>
      </x:c>
      <x:c r="L41" s="40" t="n">
        <x:v>330.84</x:v>
      </x:c>
    </x:row>
    <x:row r="42">
      <x:c r="A42" s="38" t="n">
        <x:v>46105</x:v>
      </x:c>
      <x:c r="B42" t="str">
        <x:v>2026-03</x:v>
      </x:c>
      <x:c r="C42" t="str">
        <x:v>Poland</x:v>
      </x:c>
      <x:c r="D42" t="str">
        <x:v>Elena</x:v>
      </x:c>
      <x:c r="E42" t="str">
        <x:v>Digital</x:v>
      </x:c>
      <x:c r="F42" t="str">
        <x:v>Dashboard Template</x:v>
      </x:c>
      <x:c r="G42" t="n">
        <x:v>4</x:v>
      </x:c>
      <x:c r="H42" s="40" t="n">
        <x:v>65.4</x:v>
      </x:c>
      <x:c r="I42" s="66" t="n">
        <x:v>0</x:v>
      </x:c>
      <x:c r="J42" s="40" t="n">
        <x:v>261.6</x:v>
      </x:c>
      <x:c r="K42" s="40" t="n">
        <x:v>32</x:v>
      </x:c>
      <x:c r="L42" s="40" t="n">
        <x:v>229.6</x:v>
      </x:c>
    </x:row>
    <x:row r="43">
      <x:c r="A43" s="38" t="n">
        <x:v>46128</x:v>
      </x:c>
      <x:c r="B43" t="str">
        <x:v>2026-04</x:v>
      </x:c>
      <x:c r="C43" t="str">
        <x:v>Latvia</x:v>
      </x:c>
      <x:c r="D43" t="str">
        <x:v>Sofia</x:v>
      </x:c>
      <x:c r="E43" t="str">
        <x:v>Services</x:v>
      </x:c>
      <x:c r="F43" t="str">
        <x:v>Setup Package</x:v>
      </x:c>
      <x:c r="G43" t="n">
        <x:v>8</x:v>
      </x:c>
      <x:c r="H43" s="40" t="n">
        <x:v>352.52</x:v>
      </x:c>
      <x:c r="I43" s="66" t="n">
        <x:v>0.05</x:v>
      </x:c>
      <x:c r="J43" s="40" t="n">
        <x:v>2679.15</x:v>
      </x:c>
      <x:c r="K43" s="40" t="n">
        <x:v>1280</x:v>
      </x:c>
      <x:c r="L43" s="40" t="n">
        <x:v>1399.15</x:v>
      </x:c>
    </x:row>
    <x:row r="44">
      <x:c r="A44" s="38" t="n">
        <x:v>46177</x:v>
      </x:c>
      <x:c r="B44" t="str">
        <x:v>2026-06</x:v>
      </x:c>
      <x:c r="C44" t="str">
        <x:v>Lithuania</x:v>
      </x:c>
      <x:c r="D44" t="str">
        <x:v>Sofia</x:v>
      </x:c>
      <x:c r="E44" t="str">
        <x:v>Services</x:v>
      </x:c>
      <x:c r="F44" t="str">
        <x:v>Consulting 1h</x:v>
      </x:c>
      <x:c r="G44" t="n">
        <x:v>1</x:v>
      </x:c>
      <x:c r="H44" s="40" t="n">
        <x:v>162.97</x:v>
      </x:c>
      <x:c r="I44" s="66" t="n">
        <x:v>0.1</x:v>
      </x:c>
      <x:c r="J44" s="40" t="n">
        <x:v>146.67</x:v>
      </x:c>
      <x:c r="K44" s="40" t="n">
        <x:v>55</x:v>
      </x:c>
      <x:c r="L44" s="40" t="n">
        <x:v>91.67</x:v>
      </x:c>
    </x:row>
    <x:row r="45">
      <x:c r="A45" s="38" t="n">
        <x:v>46073</x:v>
      </x:c>
      <x:c r="B45" t="str">
        <x:v>2026-02</x:v>
      </x:c>
      <x:c r="C45" t="str">
        <x:v>Latvia</x:v>
      </x:c>
      <x:c r="D45" t="str">
        <x:v>Sofia</x:v>
      </x:c>
      <x:c r="E45" t="str">
        <x:v>Digital</x:v>
      </x:c>
      <x:c r="F45" t="str">
        <x:v>CRM Template</x:v>
      </x:c>
      <x:c r="G45" t="n">
        <x:v>3</x:v>
      </x:c>
      <x:c r="H45" s="40" t="n">
        <x:v>85.24</x:v>
      </x:c>
      <x:c r="I45" s="66" t="n">
        <x:v>0.15</x:v>
      </x:c>
      <x:c r="J45" s="40" t="n">
        <x:v>217.36</x:v>
      </x:c>
      <x:c r="K45" s="40" t="n">
        <x:v>30</x:v>
      </x:c>
      <x:c r="L45" s="40" t="n">
        <x:v>187.36</x:v>
      </x:c>
    </x:row>
    <x:row r="46">
      <x:c r="A46" s="38" t="n">
        <x:v>46056</x:v>
      </x:c>
      <x:c r="B46" t="str">
        <x:v>2026-02</x:v>
      </x:c>
      <x:c r="C46" t="str">
        <x:v>Lithuania</x:v>
      </x:c>
      <x:c r="D46" t="str">
        <x:v>Elena</x:v>
      </x:c>
      <x:c r="E46" t="str">
        <x:v>Services</x:v>
      </x:c>
      <x:c r="F46" t="str">
        <x:v>Consulting 1h</x:v>
      </x:c>
      <x:c r="G46" t="n">
        <x:v>3</x:v>
      </x:c>
      <x:c r="H46" s="40" t="n">
        <x:v>163.32</x:v>
      </x:c>
      <x:c r="I46" s="66" t="n">
        <x:v>0.1</x:v>
      </x:c>
      <x:c r="J46" s="40" t="n">
        <x:v>440.96</x:v>
      </x:c>
      <x:c r="K46" s="40" t="n">
        <x:v>165</x:v>
      </x:c>
      <x:c r="L46" s="40" t="n">
        <x:v>275.96</x:v>
      </x:c>
    </x:row>
    <x:row r="47">
      <x:c r="A47" s="38" t="n">
        <x:v>46181</x:v>
      </x:c>
      <x:c r="B47" t="str">
        <x:v>2026-06</x:v>
      </x:c>
      <x:c r="C47" t="str">
        <x:v>Poland</x:v>
      </x:c>
      <x:c r="D47" t="str">
        <x:v>Olga</x:v>
      </x:c>
      <x:c r="E47" t="str">
        <x:v>Digital</x:v>
      </x:c>
      <x:c r="F47" t="str">
        <x:v>CRM Template</x:v>
      </x:c>
      <x:c r="G47" t="n">
        <x:v>1</x:v>
      </x:c>
      <x:c r="H47" s="40" t="n">
        <x:v>83.34</x:v>
      </x:c>
      <x:c r="I47" s="66" t="n">
        <x:v>0.05</x:v>
      </x:c>
      <x:c r="J47" s="40" t="n">
        <x:v>79.17</x:v>
      </x:c>
      <x:c r="K47" s="40" t="n">
        <x:v>10</x:v>
      </x:c>
      <x:c r="L47" s="40" t="n">
        <x:v>69.17</x:v>
      </x:c>
    </x:row>
    <x:row r="48">
      <x:c r="A48" s="38" t="n">
        <x:v>46135</x:v>
      </x:c>
      <x:c r="B48" t="str">
        <x:v>2026-04</x:v>
      </x:c>
      <x:c r="C48" t="str">
        <x:v>Latvia</x:v>
      </x:c>
      <x:c r="D48" t="str">
        <x:v>Sofia</x:v>
      </x:c>
      <x:c r="E48" t="str">
        <x:v>Subscription</x:v>
      </x:c>
      <x:c r="F48" t="str">
        <x:v>Pro Plan</x:v>
      </x:c>
      <x:c r="G48" t="n">
        <x:v>5</x:v>
      </x:c>
      <x:c r="H48" s="40" t="n">
        <x:v>142.28</x:v>
      </x:c>
      <x:c r="I48" s="66" t="n">
        <x:v>0.1</x:v>
      </x:c>
      <x:c r="J48" s="40" t="n">
        <x:v>640.26</x:v>
      </x:c>
      <x:c r="K48" s="40" t="n">
        <x:v>225</x:v>
      </x:c>
      <x:c r="L48" s="40" t="n">
        <x:v>415.26</x:v>
      </x:c>
    </x:row>
    <x:row r="49">
      <x:c r="A49" s="38" t="n">
        <x:v>46074</x:v>
      </x:c>
      <x:c r="B49" t="str">
        <x:v>2026-02</x:v>
      </x:c>
      <x:c r="C49" t="str">
        <x:v>Lithuania</x:v>
      </x:c>
      <x:c r="D49" t="str">
        <x:v>Sofia</x:v>
      </x:c>
      <x:c r="E49" t="str">
        <x:v>Subscription</x:v>
      </x:c>
      <x:c r="F49" t="str">
        <x:v>Starter Kit</x:v>
      </x:c>
      <x:c r="G49" t="n">
        <x:v>5</x:v>
      </x:c>
      <x:c r="H49" s="40" t="n">
        <x:v>53.34</x:v>
      </x:c>
      <x:c r="I49" s="66" t="n">
        <x:v>0</x:v>
      </x:c>
      <x:c r="J49" s="40" t="n">
        <x:v>266.7</x:v>
      </x:c>
      <x:c r="K49" s="40" t="n">
        <x:v>100</x:v>
      </x:c>
      <x:c r="L49" s="40" t="n">
        <x:v>166.7</x:v>
      </x:c>
    </x:row>
    <x:row r="50">
      <x:c r="A50" s="38" t="n">
        <x:v>46189</x:v>
      </x:c>
      <x:c r="B50" t="str">
        <x:v>2026-06</x:v>
      </x:c>
      <x:c r="C50" t="str">
        <x:v>Lithuania</x:v>
      </x:c>
      <x:c r="D50" t="str">
        <x:v>Maria</x:v>
      </x:c>
      <x:c r="E50" t="str">
        <x:v>Digital</x:v>
      </x:c>
      <x:c r="F50" t="str">
        <x:v>Dashboard Template</x:v>
      </x:c>
      <x:c r="G50" t="n">
        <x:v>6</x:v>
      </x:c>
      <x:c r="H50" s="40" t="n">
        <x:v>69.48</x:v>
      </x:c>
      <x:c r="I50" s="66" t="n">
        <x:v>0</x:v>
      </x:c>
      <x:c r="J50" s="40" t="n">
        <x:v>416.88</x:v>
      </x:c>
      <x:c r="K50" s="40" t="n">
        <x:v>48</x:v>
      </x:c>
      <x:c r="L50" s="40" t="n">
        <x:v>368.88</x:v>
      </x:c>
    </x:row>
    <x:row r="51">
      <x:c r="A51" s="38" t="n">
        <x:v>46129</x:v>
      </x:c>
      <x:c r="B51" t="str">
        <x:v>2026-04</x:v>
      </x:c>
      <x:c r="C51" t="str">
        <x:v>Lithuania</x:v>
      </x:c>
      <x:c r="D51" t="str">
        <x:v>Daria</x:v>
      </x:c>
      <x:c r="E51" t="str">
        <x:v>Services</x:v>
      </x:c>
      <x:c r="F51" t="str">
        <x:v>Consulting 1h</x:v>
      </x:c>
      <x:c r="G51" t="n">
        <x:v>4</x:v>
      </x:c>
      <x:c r="H51" s="40" t="n">
        <x:v>146.8</x:v>
      </x:c>
      <x:c r="I51" s="66" t="n">
        <x:v>0.15</x:v>
      </x:c>
      <x:c r="J51" s="40" t="n">
        <x:v>499.12</x:v>
      </x:c>
      <x:c r="K51" s="40" t="n">
        <x:v>220</x:v>
      </x:c>
      <x:c r="L51" s="40" t="n">
        <x:v>279.12</x:v>
      </x:c>
    </x:row>
    <x:row r="52">
      <x:c r="A52" s="38" t="n">
        <x:v>46141</x:v>
      </x:c>
      <x:c r="B52" t="str">
        <x:v>2026-04</x:v>
      </x:c>
      <x:c r="C52" t="str">
        <x:v>Latvia</x:v>
      </x:c>
      <x:c r="D52" t="str">
        <x:v>Daria</x:v>
      </x:c>
      <x:c r="E52" t="str">
        <x:v>Education</x:v>
      </x:c>
      <x:c r="F52" t="str">
        <x:v>Training Session</x:v>
      </x:c>
      <x:c r="G52" t="n">
        <x:v>4</x:v>
      </x:c>
      <x:c r="H52" s="40" t="n">
        <x:v>205.77</x:v>
      </x:c>
      <x:c r="I52" s="66" t="n">
        <x:v>0.15</x:v>
      </x:c>
      <x:c r="J52" s="40" t="n">
        <x:v>699.62</x:v>
      </x:c>
      <x:c r="K52" s="40" t="n">
        <x:v>280</x:v>
      </x:c>
      <x:c r="L52" s="40" t="n">
        <x:v>419.62</x:v>
      </x:c>
    </x:row>
    <x:row r="53">
      <x:c r="A53" s="38" t="n">
        <x:v>46169</x:v>
      </x:c>
      <x:c r="B53" t="str">
        <x:v>2026-05</x:v>
      </x:c>
      <x:c r="C53" t="str">
        <x:v>Estonia</x:v>
      </x:c>
      <x:c r="D53" t="str">
        <x:v>Daria</x:v>
      </x:c>
      <x:c r="E53" t="str">
        <x:v>Subscription</x:v>
      </x:c>
      <x:c r="F53" t="str">
        <x:v>Pro Plan</x:v>
      </x:c>
      <x:c r="G53" t="n">
        <x:v>7</x:v>
      </x:c>
      <x:c r="H53" s="40" t="n">
        <x:v>121.3</x:v>
      </x:c>
      <x:c r="I53" s="66" t="n">
        <x:v>0.05</x:v>
      </x:c>
      <x:c r="J53" s="40" t="n">
        <x:v>806.64</x:v>
      </x:c>
      <x:c r="K53" s="40" t="n">
        <x:v>315</x:v>
      </x:c>
      <x:c r="L53" s="40" t="n">
        <x:v>491.64</x:v>
      </x:c>
    </x:row>
    <x:row r="54">
      <x:c r="A54" s="38" t="n">
        <x:v>46047</x:v>
      </x:c>
      <x:c r="B54" t="str">
        <x:v>2026-01</x:v>
      </x:c>
      <x:c r="C54" t="str">
        <x:v>Poland</x:v>
      </x:c>
      <x:c r="D54" t="str">
        <x:v>Sofia</x:v>
      </x:c>
      <x:c r="E54" t="str">
        <x:v>Subscription</x:v>
      </x:c>
      <x:c r="F54" t="str">
        <x:v>Starter Kit</x:v>
      </x:c>
      <x:c r="G54" t="n">
        <x:v>3</x:v>
      </x:c>
      <x:c r="H54" s="40" t="n">
        <x:v>54.42</x:v>
      </x:c>
      <x:c r="I54" s="66" t="n">
        <x:v>0.1</x:v>
      </x:c>
      <x:c r="J54" s="40" t="n">
        <x:v>146.93</x:v>
      </x:c>
      <x:c r="K54" s="40" t="n">
        <x:v>60</x:v>
      </x:c>
      <x:c r="L54" s="40" t="n">
        <x:v>86.93</x:v>
      </x:c>
    </x:row>
    <x:row r="55">
      <x:c r="A55" s="38" t="n">
        <x:v>46174</x:v>
      </x:c>
      <x:c r="B55" t="str">
        <x:v>2026-06</x:v>
      </x:c>
      <x:c r="C55" t="str">
        <x:v>Finland</x:v>
      </x:c>
      <x:c r="D55" t="str">
        <x:v>Elena</x:v>
      </x:c>
      <x:c r="E55" t="str">
        <x:v>Education</x:v>
      </x:c>
      <x:c r="F55" t="str">
        <x:v>Training Session</x:v>
      </x:c>
      <x:c r="G55" t="n">
        <x:v>2</x:v>
      </x:c>
      <x:c r="H55" s="40" t="n">
        <x:v>192.06</x:v>
      </x:c>
      <x:c r="I55" s="66" t="n">
        <x:v>0.1</x:v>
      </x:c>
      <x:c r="J55" s="40" t="n">
        <x:v>345.71</x:v>
      </x:c>
      <x:c r="K55" s="40" t="n">
        <x:v>140</x:v>
      </x:c>
      <x:c r="L55" s="40" t="n">
        <x:v>205.71</x:v>
      </x:c>
    </x:row>
    <x:row r="56">
      <x:c r="A56" s="38" t="n">
        <x:v>46047</x:v>
      </x:c>
      <x:c r="B56" t="str">
        <x:v>2026-01</x:v>
      </x:c>
      <x:c r="C56" t="str">
        <x:v>Estonia</x:v>
      </x:c>
      <x:c r="D56" t="str">
        <x:v>Elena</x:v>
      </x:c>
      <x:c r="E56" t="str">
        <x:v>Digital</x:v>
      </x:c>
      <x:c r="F56" t="str">
        <x:v>CRM Template</x:v>
      </x:c>
      <x:c r="G56" t="n">
        <x:v>6</x:v>
      </x:c>
      <x:c r="H56" s="40" t="n">
        <x:v>101.87</x:v>
      </x:c>
      <x:c r="I56" s="66" t="n">
        <x:v>0</x:v>
      </x:c>
      <x:c r="J56" s="40" t="n">
        <x:v>611.22</x:v>
      </x:c>
      <x:c r="K56" s="40" t="n">
        <x:v>60</x:v>
      </x:c>
      <x:c r="L56" s="40" t="n">
        <x:v>551.22</x:v>
      </x:c>
    </x:row>
    <x:row r="57">
      <x:c r="A57" s="38" t="n">
        <x:v>46170</x:v>
      </x:c>
      <x:c r="B57" t="str">
        <x:v>2026-05</x:v>
      </x:c>
      <x:c r="C57" t="str">
        <x:v>Latvia</x:v>
      </x:c>
      <x:c r="D57" t="str">
        <x:v>Daria</x:v>
      </x:c>
      <x:c r="E57" t="str">
        <x:v>Digital</x:v>
      </x:c>
      <x:c r="F57" t="str">
        <x:v>CRM Template</x:v>
      </x:c>
      <x:c r="G57" t="n">
        <x:v>4</x:v>
      </x:c>
      <x:c r="H57" s="40" t="n">
        <x:v>93.03</x:v>
      </x:c>
      <x:c r="I57" s="66" t="n">
        <x:v>0.05</x:v>
      </x:c>
      <x:c r="J57" s="40" t="n">
        <x:v>353.51</x:v>
      </x:c>
      <x:c r="K57" s="40" t="n">
        <x:v>40</x:v>
      </x:c>
      <x:c r="L57" s="40" t="n">
        <x:v>313.51</x:v>
      </x:c>
    </x:row>
    <x:row r="58">
      <x:c r="A58" s="38" t="n">
        <x:v>46065</x:v>
      </x:c>
      <x:c r="B58" t="str">
        <x:v>2026-02</x:v>
      </x:c>
      <x:c r="C58" t="str">
        <x:v>Finland</x:v>
      </x:c>
      <x:c r="D58" t="str">
        <x:v>Sofia</x:v>
      </x:c>
      <x:c r="E58" t="str">
        <x:v>Digital</x:v>
      </x:c>
      <x:c r="F58" t="str">
        <x:v>Dashboard Template</x:v>
      </x:c>
      <x:c r="G58" t="n">
        <x:v>5</x:v>
      </x:c>
      <x:c r="H58" s="40" t="n">
        <x:v>75.55</x:v>
      </x:c>
      <x:c r="I58" s="66" t="n">
        <x:v>0.05</x:v>
      </x:c>
      <x:c r="J58" s="40" t="n">
        <x:v>358.86</x:v>
      </x:c>
      <x:c r="K58" s="40" t="n">
        <x:v>40</x:v>
      </x:c>
      <x:c r="L58" s="40" t="n">
        <x:v>318.86</x:v>
      </x:c>
    </x:row>
    <x:row r="59">
      <x:c r="A59" s="38" t="n">
        <x:v>46060</x:v>
      </x:c>
      <x:c r="B59" t="str">
        <x:v>2026-02</x:v>
      </x:c>
      <x:c r="C59" t="str">
        <x:v>Lithuania</x:v>
      </x:c>
      <x:c r="D59" t="str">
        <x:v>Daria</x:v>
      </x:c>
      <x:c r="E59" t="str">
        <x:v>Subscription</x:v>
      </x:c>
      <x:c r="F59" t="str">
        <x:v>Starter Kit</x:v>
      </x:c>
      <x:c r="G59" t="n">
        <x:v>5</x:v>
      </x:c>
      <x:c r="H59" s="40" t="n">
        <x:v>54.07</x:v>
      </x:c>
      <x:c r="I59" s="66" t="n">
        <x:v>0</x:v>
      </x:c>
      <x:c r="J59" s="40" t="n">
        <x:v>270.35</x:v>
      </x:c>
      <x:c r="K59" s="40" t="n">
        <x:v>100</x:v>
      </x:c>
      <x:c r="L59" s="40" t="n">
        <x:v>170.35</x:v>
      </x:c>
    </x:row>
    <x:row r="60">
      <x:c r="A60" s="38" t="n">
        <x:v>46132</x:v>
      </x:c>
      <x:c r="B60" t="str">
        <x:v>2026-04</x:v>
      </x:c>
      <x:c r="C60" t="str">
        <x:v>Estonia</x:v>
      </x:c>
      <x:c r="D60" t="str">
        <x:v>Elena</x:v>
      </x:c>
      <x:c r="E60" t="str">
        <x:v>Digital</x:v>
      </x:c>
      <x:c r="F60" t="str">
        <x:v>CRM Template</x:v>
      </x:c>
      <x:c r="G60" t="n">
        <x:v>2</x:v>
      </x:c>
      <x:c r="H60" s="40" t="n">
        <x:v>81.52</x:v>
      </x:c>
      <x:c r="I60" s="66" t="n">
        <x:v>0</x:v>
      </x:c>
      <x:c r="J60" s="40" t="n">
        <x:v>163.04</x:v>
      </x:c>
      <x:c r="K60" s="40" t="n">
        <x:v>20</x:v>
      </x:c>
      <x:c r="L60" s="40" t="n">
        <x:v>143.04</x:v>
      </x:c>
    </x:row>
    <x:row r="61">
      <x:c r="A61" s="38" t="n">
        <x:v>46144</x:v>
      </x:c>
      <x:c r="B61" t="str">
        <x:v>2026-05</x:v>
      </x:c>
      <x:c r="C61" t="str">
        <x:v>Finland</x:v>
      </x:c>
      <x:c r="D61" t="str">
        <x:v>Olga</x:v>
      </x:c>
      <x:c r="E61" t="str">
        <x:v>Services</x:v>
      </x:c>
      <x:c r="F61" t="str">
        <x:v>Consulting 1h</x:v>
      </x:c>
      <x:c r="G61" t="n">
        <x:v>5</x:v>
      </x:c>
      <x:c r="H61" s="40" t="n">
        <x:v>151.98</x:v>
      </x:c>
      <x:c r="I61" s="66" t="n">
        <x:v>0.15</x:v>
      </x:c>
      <x:c r="J61" s="40" t="n">
        <x:v>645.91</x:v>
      </x:c>
      <x:c r="K61" s="40" t="n">
        <x:v>275</x:v>
      </x:c>
      <x:c r="L61" s="40" t="n">
        <x:v>370.91</x:v>
      </x:c>
    </x:row>
    <x:row r="62">
      <x:c r="A62" s="38" t="n">
        <x:v>46033</x:v>
      </x:c>
      <x:c r="B62" t="str">
        <x:v>2026-01</x:v>
      </x:c>
      <x:c r="C62" t="str">
        <x:v>Latvia</x:v>
      </x:c>
      <x:c r="D62" t="str">
        <x:v>Olga</x:v>
      </x:c>
      <x:c r="E62" t="str">
        <x:v>Digital</x:v>
      </x:c>
      <x:c r="F62" t="str">
        <x:v>CRM Template</x:v>
      </x:c>
      <x:c r="G62" t="n">
        <x:v>6</x:v>
      </x:c>
      <x:c r="H62" s="40" t="n">
        <x:v>91.45</x:v>
      </x:c>
      <x:c r="I62" s="66" t="n">
        <x:v>0</x:v>
      </x:c>
      <x:c r="J62" s="40" t="n">
        <x:v>548.7</x:v>
      </x:c>
      <x:c r="K62" s="40" t="n">
        <x:v>60</x:v>
      </x:c>
      <x:c r="L62" s="40" t="n">
        <x:v>488.7</x:v>
      </x:c>
    </x:row>
    <x:row r="63">
      <x:c r="A63" s="38" t="n">
        <x:v>46102</x:v>
      </x:c>
      <x:c r="B63" t="str">
        <x:v>2026-03</x:v>
      </x:c>
      <x:c r="C63" t="str">
        <x:v>Poland</x:v>
      </x:c>
      <x:c r="D63" t="str">
        <x:v>Olga</x:v>
      </x:c>
      <x:c r="E63" t="str">
        <x:v>Subscription</x:v>
      </x:c>
      <x:c r="F63" t="str">
        <x:v>Pro Plan</x:v>
      </x:c>
      <x:c r="G63" t="n">
        <x:v>7</x:v>
      </x:c>
      <x:c r="H63" s="40" t="n">
        <x:v>124.29</x:v>
      </x:c>
      <x:c r="I63" s="66" t="n">
        <x:v>0</x:v>
      </x:c>
      <x:c r="J63" s="40" t="n">
        <x:v>870.03</x:v>
      </x:c>
      <x:c r="K63" s="40" t="n">
        <x:v>315</x:v>
      </x:c>
      <x:c r="L63" s="40" t="n">
        <x:v>555.03</x:v>
      </x:c>
    </x:row>
    <x:row r="64">
      <x:c r="A64" s="38" t="n">
        <x:v>46105</x:v>
      </x:c>
      <x:c r="B64" t="str">
        <x:v>2026-03</x:v>
      </x:c>
      <x:c r="C64" t="str">
        <x:v>Poland</x:v>
      </x:c>
      <x:c r="D64" t="str">
        <x:v>Elena</x:v>
      </x:c>
      <x:c r="E64" t="str">
        <x:v>Digital</x:v>
      </x:c>
      <x:c r="F64" t="str">
        <x:v>Dashboard Template</x:v>
      </x:c>
      <x:c r="G64" t="n">
        <x:v>7</x:v>
      </x:c>
      <x:c r="H64" s="40" t="n">
        <x:v>68.8</x:v>
      </x:c>
      <x:c r="I64" s="66" t="n">
        <x:v>0.05</x:v>
      </x:c>
      <x:c r="J64" s="40" t="n">
        <x:v>457.52</x:v>
      </x:c>
      <x:c r="K64" s="40" t="n">
        <x:v>56</x:v>
      </x:c>
      <x:c r="L64" s="40" t="n">
        <x:v>401.52</x:v>
      </x:c>
    </x:row>
    <x:row r="65">
      <x:c r="A65" s="38" t="n">
        <x:v>46169</x:v>
      </x:c>
      <x:c r="B65" t="str">
        <x:v>2026-05</x:v>
      </x:c>
      <x:c r="C65" t="str">
        <x:v>Lithuania</x:v>
      </x:c>
      <x:c r="D65" t="str">
        <x:v>Anna</x:v>
      </x:c>
      <x:c r="E65" t="str">
        <x:v>Services</x:v>
      </x:c>
      <x:c r="F65" t="str">
        <x:v>Consulting 1h</x:v>
      </x:c>
      <x:c r="G65" t="n">
        <x:v>2</x:v>
      </x:c>
      <x:c r="H65" s="40" t="n">
        <x:v>155.58</x:v>
      </x:c>
      <x:c r="I65" s="66" t="n">
        <x:v>0</x:v>
      </x:c>
      <x:c r="J65" s="40" t="n">
        <x:v>311.16</x:v>
      </x:c>
      <x:c r="K65" s="40" t="n">
        <x:v>110</x:v>
      </x:c>
      <x:c r="L65" s="40" t="n">
        <x:v>201.16</x:v>
      </x:c>
    </x:row>
    <x:row r="66">
      <x:c r="A66" s="38" t="n">
        <x:v>46171</x:v>
      </x:c>
      <x:c r="B66" t="str">
        <x:v>2026-05</x:v>
      </x:c>
      <x:c r="C66" t="str">
        <x:v>Latvia</x:v>
      </x:c>
      <x:c r="D66" t="str">
        <x:v>Elena</x:v>
      </x:c>
      <x:c r="E66" t="str">
        <x:v>Services</x:v>
      </x:c>
      <x:c r="F66" t="str">
        <x:v>Consulting 1h</x:v>
      </x:c>
      <x:c r="G66" t="n">
        <x:v>4</x:v>
      </x:c>
      <x:c r="H66" s="40" t="n">
        <x:v>164.64</x:v>
      </x:c>
      <x:c r="I66" s="66" t="n">
        <x:v>0</x:v>
      </x:c>
      <x:c r="J66" s="40" t="n">
        <x:v>658.56</x:v>
      </x:c>
      <x:c r="K66" s="40" t="n">
        <x:v>220</x:v>
      </x:c>
      <x:c r="L66" s="40" t="n">
        <x:v>438.56</x:v>
      </x:c>
    </x:row>
    <x:row r="67">
      <x:c r="A67" s="38" t="n">
        <x:v>46185</x:v>
      </x:c>
      <x:c r="B67" t="str">
        <x:v>2026-06</x:v>
      </x:c>
      <x:c r="C67" t="str">
        <x:v>Estonia</x:v>
      </x:c>
      <x:c r="D67" t="str">
        <x:v>Sofia</x:v>
      </x:c>
      <x:c r="E67" t="str">
        <x:v>Subscription</x:v>
      </x:c>
      <x:c r="F67" t="str">
        <x:v>Pro Plan</x:v>
      </x:c>
      <x:c r="G67" t="n">
        <x:v>2</x:v>
      </x:c>
      <x:c r="H67" s="40" t="n">
        <x:v>125.76</x:v>
      </x:c>
      <x:c r="I67" s="66" t="n">
        <x:v>0</x:v>
      </x:c>
      <x:c r="J67" s="40" t="n">
        <x:v>251.52</x:v>
      </x:c>
      <x:c r="K67" s="40" t="n">
        <x:v>90</x:v>
      </x:c>
      <x:c r="L67" s="40" t="n">
        <x:v>161.52</x:v>
      </x:c>
    </x:row>
    <x:row r="68">
      <x:c r="A68" s="38" t="n">
        <x:v>46042</x:v>
      </x:c>
      <x:c r="B68" t="str">
        <x:v>2026-01</x:v>
      </x:c>
      <x:c r="C68" t="str">
        <x:v>Estonia</x:v>
      </x:c>
      <x:c r="D68" t="str">
        <x:v>Elena</x:v>
      </x:c>
      <x:c r="E68" t="str">
        <x:v>Services</x:v>
      </x:c>
      <x:c r="F68" t="str">
        <x:v>Consulting 1h</x:v>
      </x:c>
      <x:c r="G68" t="n">
        <x:v>4</x:v>
      </x:c>
      <x:c r="H68" s="40" t="n">
        <x:v>148.42</x:v>
      </x:c>
      <x:c r="I68" s="66" t="n">
        <x:v>0.15</x:v>
      </x:c>
      <x:c r="J68" s="40" t="n">
        <x:v>504.63</x:v>
      </x:c>
      <x:c r="K68" s="40" t="n">
        <x:v>220</x:v>
      </x:c>
      <x:c r="L68" s="40" t="n">
        <x:v>284.63</x:v>
      </x:c>
    </x:row>
    <x:row r="69">
      <x:c r="A69" s="38" t="n">
        <x:v>46037</x:v>
      </x:c>
      <x:c r="B69" t="str">
        <x:v>2026-01</x:v>
      </x:c>
      <x:c r="C69" t="str">
        <x:v>Poland</x:v>
      </x:c>
      <x:c r="D69" t="str">
        <x:v>Elena</x:v>
      </x:c>
      <x:c r="E69" t="str">
        <x:v>Digital</x:v>
      </x:c>
      <x:c r="F69" t="str">
        <x:v>Dashboard Template</x:v>
      </x:c>
      <x:c r="G69" t="n">
        <x:v>4</x:v>
      </x:c>
      <x:c r="H69" s="40" t="n">
        <x:v>71.27</x:v>
      </x:c>
      <x:c r="I69" s="66" t="n">
        <x:v>0.15</x:v>
      </x:c>
      <x:c r="J69" s="40" t="n">
        <x:v>242.32</x:v>
      </x:c>
      <x:c r="K69" s="40" t="n">
        <x:v>32</x:v>
      </x:c>
      <x:c r="L69" s="40" t="n">
        <x:v>210.32</x:v>
      </x:c>
    </x:row>
    <x:row r="70">
      <x:c r="A70" s="38" t="n">
        <x:v>46127</x:v>
      </x:c>
      <x:c r="B70" t="str">
        <x:v>2026-04</x:v>
      </x:c>
      <x:c r="C70" t="str">
        <x:v>Lithuania</x:v>
      </x:c>
      <x:c r="D70" t="str">
        <x:v>Elena</x:v>
      </x:c>
      <x:c r="E70" t="str">
        <x:v>Digital</x:v>
      </x:c>
      <x:c r="F70" t="str">
        <x:v>CRM Template</x:v>
      </x:c>
      <x:c r="G70" t="n">
        <x:v>7</x:v>
      </x:c>
      <x:c r="H70" s="40" t="n">
        <x:v>95.25</x:v>
      </x:c>
      <x:c r="I70" s="66" t="n">
        <x:v>0</x:v>
      </x:c>
      <x:c r="J70" s="40" t="n">
        <x:v>666.75</x:v>
      </x:c>
      <x:c r="K70" s="40" t="n">
        <x:v>70</x:v>
      </x:c>
      <x:c r="L70" s="40" t="n">
        <x:v>596.75</x:v>
      </x:c>
    </x:row>
    <x:row r="71">
      <x:c r="A71" s="38" t="n">
        <x:v>46188</x:v>
      </x:c>
      <x:c r="B71" t="str">
        <x:v>2026-06</x:v>
      </x:c>
      <x:c r="C71" t="str">
        <x:v>Latvia</x:v>
      </x:c>
      <x:c r="D71" t="str">
        <x:v>Olga</x:v>
      </x:c>
      <x:c r="E71" t="str">
        <x:v>Services</x:v>
      </x:c>
      <x:c r="F71" t="str">
        <x:v>Setup Package</x:v>
      </x:c>
      <x:c r="G71" t="n">
        <x:v>2</x:v>
      </x:c>
      <x:c r="H71" s="40" t="n">
        <x:v>399.87</x:v>
      </x:c>
      <x:c r="I71" s="66" t="n">
        <x:v>0</x:v>
      </x:c>
      <x:c r="J71" s="40" t="n">
        <x:v>799.74</x:v>
      </x:c>
      <x:c r="K71" s="40" t="n">
        <x:v>320</x:v>
      </x:c>
      <x:c r="L71" s="40" t="n">
        <x:v>479.74</x:v>
      </x:c>
    </x:row>
    <x:row r="72">
      <x:c r="A72" s="38" t="n">
        <x:v>46188</x:v>
      </x:c>
      <x:c r="B72" t="str">
        <x:v>2026-06</x:v>
      </x:c>
      <x:c r="C72" t="str">
        <x:v>Lithuania</x:v>
      </x:c>
      <x:c r="D72" t="str">
        <x:v>Olga</x:v>
      </x:c>
      <x:c r="E72" t="str">
        <x:v>Services</x:v>
      </x:c>
      <x:c r="F72" t="str">
        <x:v>Consulting 1h</x:v>
      </x:c>
      <x:c r="G72" t="n">
        <x:v>5</x:v>
      </x:c>
      <x:c r="H72" s="40" t="n">
        <x:v>151.32</x:v>
      </x:c>
      <x:c r="I72" s="66" t="n">
        <x:v>0</x:v>
      </x:c>
      <x:c r="J72" s="40" t="n">
        <x:v>756.6</x:v>
      </x:c>
      <x:c r="K72" s="40" t="n">
        <x:v>275</x:v>
      </x:c>
      <x:c r="L72" s="40" t="n">
        <x:v>481.6</x:v>
      </x:c>
    </x:row>
    <x:row r="73">
      <x:c r="A73" s="38" t="n">
        <x:v>46145</x:v>
      </x:c>
      <x:c r="B73" t="str">
        <x:v>2026-05</x:v>
      </x:c>
      <x:c r="C73" t="str">
        <x:v>Lithuania</x:v>
      </x:c>
      <x:c r="D73" t="str">
        <x:v>Daria</x:v>
      </x:c>
      <x:c r="E73" t="str">
        <x:v>Subscription</x:v>
      </x:c>
      <x:c r="F73" t="str">
        <x:v>Starter Kit</x:v>
      </x:c>
      <x:c r="G73" t="n">
        <x:v>6</x:v>
      </x:c>
      <x:c r="H73" s="40" t="n">
        <x:v>55.75</x:v>
      </x:c>
      <x:c r="I73" s="66" t="n">
        <x:v>0.05</x:v>
      </x:c>
      <x:c r="J73" s="40" t="n">
        <x:v>317.77</x:v>
      </x:c>
      <x:c r="K73" s="40" t="n">
        <x:v>120</x:v>
      </x:c>
      <x:c r="L73" s="40" t="n">
        <x:v>197.77</x:v>
      </x:c>
    </x:row>
    <x:row r="74">
      <x:c r="A74" s="38" t="n">
        <x:v>46192</x:v>
      </x:c>
      <x:c r="B74" t="str">
        <x:v>2026-06</x:v>
      </x:c>
      <x:c r="C74" t="str">
        <x:v>Latvia</x:v>
      </x:c>
      <x:c r="D74" t="str">
        <x:v>Daria</x:v>
      </x:c>
      <x:c r="E74" t="str">
        <x:v>Subscription</x:v>
      </x:c>
      <x:c r="F74" t="str">
        <x:v>Pro Plan</x:v>
      </x:c>
      <x:c r="G74" t="n">
        <x:v>8</x:v>
      </x:c>
      <x:c r="H74" s="40" t="n">
        <x:v>146.43</x:v>
      </x:c>
      <x:c r="I74" s="66" t="n">
        <x:v>0</x:v>
      </x:c>
      <x:c r="J74" s="40" t="n">
        <x:v>1171.44</x:v>
      </x:c>
      <x:c r="K74" s="40" t="n">
        <x:v>360</x:v>
      </x:c>
      <x:c r="L74" s="40" t="n">
        <x:v>811.44</x:v>
      </x:c>
    </x:row>
    <x:row r="75">
      <x:c r="A75" s="38" t="n">
        <x:v>46051</x:v>
      </x:c>
      <x:c r="B75" t="str">
        <x:v>2026-01</x:v>
      </x:c>
      <x:c r="C75" t="str">
        <x:v>Estonia</x:v>
      </x:c>
      <x:c r="D75" t="str">
        <x:v>Maria</x:v>
      </x:c>
      <x:c r="E75" t="str">
        <x:v>Education</x:v>
      </x:c>
      <x:c r="F75" t="str">
        <x:v>Training Session</x:v>
      </x:c>
      <x:c r="G75" t="n">
        <x:v>5</x:v>
      </x:c>
      <x:c r="H75" s="40" t="n">
        <x:v>196.21</x:v>
      </x:c>
      <x:c r="I75" s="66" t="n">
        <x:v>0.1</x:v>
      </x:c>
      <x:c r="J75" s="40" t="n">
        <x:v>882.95</x:v>
      </x:c>
      <x:c r="K75" s="40" t="n">
        <x:v>350</x:v>
      </x:c>
      <x:c r="L75" s="40" t="n">
        <x:v>532.95</x:v>
      </x:c>
    </x:row>
    <x:row r="76">
      <x:c r="A76" s="38" t="n">
        <x:v>46199</x:v>
      </x:c>
      <x:c r="B76" t="str">
        <x:v>2026-06</x:v>
      </x:c>
      <x:c r="C76" t="str">
        <x:v>Lithuania</x:v>
      </x:c>
      <x:c r="D76" t="str">
        <x:v>Sofia</x:v>
      </x:c>
      <x:c r="E76" t="str">
        <x:v>Digital</x:v>
      </x:c>
      <x:c r="F76" t="str">
        <x:v>Dashboard Template</x:v>
      </x:c>
      <x:c r="G76" t="n">
        <x:v>6</x:v>
      </x:c>
      <x:c r="H76" s="40" t="n">
        <x:v>65.24</x:v>
      </x:c>
      <x:c r="I76" s="66" t="n">
        <x:v>0.05</x:v>
      </x:c>
      <x:c r="J76" s="40" t="n">
        <x:v>371.87</x:v>
      </x:c>
      <x:c r="K76" s="40" t="n">
        <x:v>48</x:v>
      </x:c>
      <x:c r="L76" s="40" t="n">
        <x:v>323.87</x:v>
      </x:c>
    </x:row>
    <x:row r="77">
      <x:c r="A77" s="38" t="n">
        <x:v>46029</x:v>
      </x:c>
      <x:c r="B77" t="str">
        <x:v>2026-01</x:v>
      </x:c>
      <x:c r="C77" t="str">
        <x:v>Poland</x:v>
      </x:c>
      <x:c r="D77" t="str">
        <x:v>Sofia</x:v>
      </x:c>
      <x:c r="E77" t="str">
        <x:v>Subscription</x:v>
      </x:c>
      <x:c r="F77" t="str">
        <x:v>Starter Kit</x:v>
      </x:c>
      <x:c r="G77" t="n">
        <x:v>7</x:v>
      </x:c>
      <x:c r="H77" s="40" t="n">
        <x:v>44.58</x:v>
      </x:c>
      <x:c r="I77" s="66" t="n">
        <x:v>0</x:v>
      </x:c>
      <x:c r="J77" s="40" t="n">
        <x:v>312.06</x:v>
      </x:c>
      <x:c r="K77" s="40" t="n">
        <x:v>140</x:v>
      </x:c>
      <x:c r="L77" s="40" t="n">
        <x:v>172.06</x:v>
      </x:c>
    </x:row>
    <x:row r="78">
      <x:c r="A78" s="38" t="n">
        <x:v>46081</x:v>
      </x:c>
      <x:c r="B78" t="str">
        <x:v>2026-02</x:v>
      </x:c>
      <x:c r="C78" t="str">
        <x:v>Finland</x:v>
      </x:c>
      <x:c r="D78" t="str">
        <x:v>Elena</x:v>
      </x:c>
      <x:c r="E78" t="str">
        <x:v>Services</x:v>
      </x:c>
      <x:c r="F78" t="str">
        <x:v>Consulting 1h</x:v>
      </x:c>
      <x:c r="G78" t="n">
        <x:v>3</x:v>
      </x:c>
      <x:c r="H78" s="40" t="n">
        <x:v>139.6</x:v>
      </x:c>
      <x:c r="I78" s="66" t="n">
        <x:v>0.15</x:v>
      </x:c>
      <x:c r="J78" s="40" t="n">
        <x:v>355.98</x:v>
      </x:c>
      <x:c r="K78" s="40" t="n">
        <x:v>165</x:v>
      </x:c>
      <x:c r="L78" s="40" t="n">
        <x:v>190.98</x:v>
      </x:c>
    </x:row>
    <x:row r="79">
      <x:c r="A79" s="38" t="n">
        <x:v>46028</x:v>
      </x:c>
      <x:c r="B79" t="str">
        <x:v>2026-01</x:v>
      </x:c>
      <x:c r="C79" t="str">
        <x:v>Lithuania</x:v>
      </x:c>
      <x:c r="D79" t="str">
        <x:v>Elena</x:v>
      </x:c>
      <x:c r="E79" t="str">
        <x:v>Digital</x:v>
      </x:c>
      <x:c r="F79" t="str">
        <x:v>Dashboard Template</x:v>
      </x:c>
      <x:c r="G79" t="n">
        <x:v>5</x:v>
      </x:c>
      <x:c r="H79" s="40" t="n">
        <x:v>67.26</x:v>
      </x:c>
      <x:c r="I79" s="66" t="n">
        <x:v>0</x:v>
      </x:c>
      <x:c r="J79" s="40" t="n">
        <x:v>336.3</x:v>
      </x:c>
      <x:c r="K79" s="40" t="n">
        <x:v>40</x:v>
      </x:c>
      <x:c r="L79" s="40" t="n">
        <x:v>296.3</x:v>
      </x:c>
    </x:row>
    <x:row r="80">
      <x:c r="A80" s="38" t="n">
        <x:v>46171</x:v>
      </x:c>
      <x:c r="B80" t="str">
        <x:v>2026-05</x:v>
      </x:c>
      <x:c r="C80" t="str">
        <x:v>Latvia</x:v>
      </x:c>
      <x:c r="D80" t="str">
        <x:v>Anna</x:v>
      </x:c>
      <x:c r="E80" t="str">
        <x:v>Services</x:v>
      </x:c>
      <x:c r="F80" t="str">
        <x:v>Setup Package</x:v>
      </x:c>
      <x:c r="G80" t="n">
        <x:v>3</x:v>
      </x:c>
      <x:c r="H80" s="40" t="n">
        <x:v>439.34</x:v>
      </x:c>
      <x:c r="I80" s="66" t="n">
        <x:v>0</x:v>
      </x:c>
      <x:c r="J80" s="40" t="n">
        <x:v>1318.02</x:v>
      </x:c>
      <x:c r="K80" s="40" t="n">
        <x:v>480</x:v>
      </x:c>
      <x:c r="L80" s="40" t="n">
        <x:v>838.02</x:v>
      </x:c>
    </x:row>
    <x:row r="81">
      <x:c r="A81" s="38" t="n">
        <x:v>46180</x:v>
      </x:c>
      <x:c r="B81" t="str">
        <x:v>2026-06</x:v>
      </x:c>
      <x:c r="C81" t="str">
        <x:v>Latvia</x:v>
      </x:c>
      <x:c r="D81" t="str">
        <x:v>Elena</x:v>
      </x:c>
      <x:c r="E81" t="str">
        <x:v>Digital</x:v>
      </x:c>
      <x:c r="F81" t="str">
        <x:v>Dashboard Template</x:v>
      </x:c>
      <x:c r="G81" t="n">
        <x:v>8</x:v>
      </x:c>
      <x:c r="H81" s="40" t="n">
        <x:v>72.46</x:v>
      </x:c>
      <x:c r="I81" s="66" t="n">
        <x:v>0.05</x:v>
      </x:c>
      <x:c r="J81" s="40" t="n">
        <x:v>550.7</x:v>
      </x:c>
      <x:c r="K81" s="40" t="n">
        <x:v>64</x:v>
      </x:c>
      <x:c r="L81" s="40" t="n">
        <x:v>486.7</x:v>
      </x:c>
    </x:row>
    <x:row r="82">
      <x:c r="A82" s="38" t="n">
        <x:v>46202</x:v>
      </x:c>
      <x:c r="B82" t="str">
        <x:v>2026-06</x:v>
      </x:c>
      <x:c r="C82" t="str">
        <x:v>Poland</x:v>
      </x:c>
      <x:c r="D82" t="str">
        <x:v>Olga</x:v>
      </x:c>
      <x:c r="E82" t="str">
        <x:v>Subscription</x:v>
      </x:c>
      <x:c r="F82" t="str">
        <x:v>Starter Kit</x:v>
      </x:c>
      <x:c r="G82" t="n">
        <x:v>2</x:v>
      </x:c>
      <x:c r="H82" s="40" t="n">
        <x:v>55.69</x:v>
      </x:c>
      <x:c r="I82" s="66" t="n">
        <x:v>0</x:v>
      </x:c>
      <x:c r="J82" s="40" t="n">
        <x:v>111.38</x:v>
      </x:c>
      <x:c r="K82" s="40" t="n">
        <x:v>40</x:v>
      </x:c>
      <x:c r="L82" s="40" t="n">
        <x:v>71.38</x:v>
      </x:c>
    </x:row>
    <x:row r="83">
      <x:c r="A83" s="38" t="n">
        <x:v>46063</x:v>
      </x:c>
      <x:c r="B83" t="str">
        <x:v>2026-02</x:v>
      </x:c>
      <x:c r="C83" t="str">
        <x:v>Finland</x:v>
      </x:c>
      <x:c r="D83" t="str">
        <x:v>Elena</x:v>
      </x:c>
      <x:c r="E83" t="str">
        <x:v>Digital</x:v>
      </x:c>
      <x:c r="F83" t="str">
        <x:v>CRM Template</x:v>
      </x:c>
      <x:c r="G83" t="n">
        <x:v>6</x:v>
      </x:c>
      <x:c r="H83" s="40" t="n">
        <x:v>81.35</x:v>
      </x:c>
      <x:c r="I83" s="66" t="n">
        <x:v>0.05</x:v>
      </x:c>
      <x:c r="J83" s="40" t="n">
        <x:v>463.69</x:v>
      </x:c>
      <x:c r="K83" s="40" t="n">
        <x:v>60</x:v>
      </x:c>
      <x:c r="L83" s="40" t="n">
        <x:v>403.69</x:v>
      </x:c>
    </x:row>
    <x:row r="84">
      <x:c r="A84" s="38" t="n">
        <x:v>46158</x:v>
      </x:c>
      <x:c r="B84" t="str">
        <x:v>2026-05</x:v>
      </x:c>
      <x:c r="C84" t="str">
        <x:v>Finland</x:v>
      </x:c>
      <x:c r="D84" t="str">
        <x:v>Maria</x:v>
      </x:c>
      <x:c r="E84" t="str">
        <x:v>Services</x:v>
      </x:c>
      <x:c r="F84" t="str">
        <x:v>Consulting 1h</x:v>
      </x:c>
      <x:c r="G84" t="n">
        <x:v>8</x:v>
      </x:c>
      <x:c r="H84" s="40" t="n">
        <x:v>157.75</x:v>
      </x:c>
      <x:c r="I84" s="66" t="n">
        <x:v>0.05</x:v>
      </x:c>
      <x:c r="J84" s="40" t="n">
        <x:v>1198.9</x:v>
      </x:c>
      <x:c r="K84" s="40" t="n">
        <x:v>440</x:v>
      </x:c>
      <x:c r="L84" s="40" t="n">
        <x:v>758.9</x:v>
      </x:c>
    </x:row>
    <x:row r="85">
      <x:c r="A85" s="38" t="n">
        <x:v>46079</x:v>
      </x:c>
      <x:c r="B85" t="str">
        <x:v>2026-02</x:v>
      </x:c>
      <x:c r="C85" t="str">
        <x:v>Finland</x:v>
      </x:c>
      <x:c r="D85" t="str">
        <x:v>Maria</x:v>
      </x:c>
      <x:c r="E85" t="str">
        <x:v>Digital</x:v>
      </x:c>
      <x:c r="F85" t="str">
        <x:v>Dashboard Template</x:v>
      </x:c>
      <x:c r="G85" t="n">
        <x:v>4</x:v>
      </x:c>
      <x:c r="H85" s="40" t="n">
        <x:v>70.9</x:v>
      </x:c>
      <x:c r="I85" s="66" t="n">
        <x:v>0.05</x:v>
      </x:c>
      <x:c r="J85" s="40" t="n">
        <x:v>269.42</x:v>
      </x:c>
      <x:c r="K85" s="40" t="n">
        <x:v>32</x:v>
      </x:c>
      <x:c r="L85" s="40" t="n">
        <x:v>237.42</x:v>
      </x:c>
    </x:row>
    <x:row r="86">
      <x:c r="A86" s="38" t="n">
        <x:v>46097</x:v>
      </x:c>
      <x:c r="B86" t="str">
        <x:v>2026-03</x:v>
      </x:c>
      <x:c r="C86" t="str">
        <x:v>Latvia</x:v>
      </x:c>
      <x:c r="D86" t="str">
        <x:v>Maria</x:v>
      </x:c>
      <x:c r="E86" t="str">
        <x:v>Services</x:v>
      </x:c>
      <x:c r="F86" t="str">
        <x:v>Setup Package</x:v>
      </x:c>
      <x:c r="G86" t="n">
        <x:v>2</x:v>
      </x:c>
      <x:c r="H86" s="40" t="n">
        <x:v>361.84</x:v>
      </x:c>
      <x:c r="I86" s="66" t="n">
        <x:v>0.15</x:v>
      </x:c>
      <x:c r="J86" s="40" t="n">
        <x:v>615.13</x:v>
      </x:c>
      <x:c r="K86" s="40" t="n">
        <x:v>320</x:v>
      </x:c>
      <x:c r="L86" s="40" t="n">
        <x:v>295.13</x:v>
      </x:c>
    </x:row>
    <x:row r="87">
      <x:c r="A87" s="38" t="n">
        <x:v>46044</x:v>
      </x:c>
      <x:c r="B87" t="str">
        <x:v>2026-01</x:v>
      </x:c>
      <x:c r="C87" t="str">
        <x:v>Finland</x:v>
      </x:c>
      <x:c r="D87" t="str">
        <x:v>Daria</x:v>
      </x:c>
      <x:c r="E87" t="str">
        <x:v>Services</x:v>
      </x:c>
      <x:c r="F87" t="str">
        <x:v>Setup Package</x:v>
      </x:c>
      <x:c r="G87" t="n">
        <x:v>4</x:v>
      </x:c>
      <x:c r="H87" s="40" t="n">
        <x:v>436.43</x:v>
      </x:c>
      <x:c r="I87" s="66" t="n">
        <x:v>0.15</x:v>
      </x:c>
      <x:c r="J87" s="40" t="n">
        <x:v>1483.86</x:v>
      </x:c>
      <x:c r="K87" s="40" t="n">
        <x:v>640</x:v>
      </x:c>
      <x:c r="L87" s="40" t="n">
        <x:v>843.86</x:v>
      </x:c>
    </x:row>
    <x:row r="88">
      <x:c r="A88" s="38" t="n">
        <x:v>46177</x:v>
      </x:c>
      <x:c r="B88" t="str">
        <x:v>2026-06</x:v>
      </x:c>
      <x:c r="C88" t="str">
        <x:v>Latvia</x:v>
      </x:c>
      <x:c r="D88" t="str">
        <x:v>Olga</x:v>
      </x:c>
      <x:c r="E88" t="str">
        <x:v>Digital</x:v>
      </x:c>
      <x:c r="F88" t="str">
        <x:v>Dashboard Template</x:v>
      </x:c>
      <x:c r="G88" t="n">
        <x:v>5</x:v>
      </x:c>
      <x:c r="H88" s="40" t="n">
        <x:v>64.29</x:v>
      </x:c>
      <x:c r="I88" s="66" t="n">
        <x:v>0.1</x:v>
      </x:c>
      <x:c r="J88" s="40" t="n">
        <x:v>289.31</x:v>
      </x:c>
      <x:c r="K88" s="40" t="n">
        <x:v>40</x:v>
      </x:c>
      <x:c r="L88" s="40" t="n">
        <x:v>249.31</x:v>
      </x:c>
    </x:row>
    <x:row r="89">
      <x:c r="A89" s="38" t="n">
        <x:v>46031</x:v>
      </x:c>
      <x:c r="B89" t="str">
        <x:v>2026-01</x:v>
      </x:c>
      <x:c r="C89" t="str">
        <x:v>Estonia</x:v>
      </x:c>
      <x:c r="D89" t="str">
        <x:v>Olga</x:v>
      </x:c>
      <x:c r="E89" t="str">
        <x:v>Services</x:v>
      </x:c>
      <x:c r="F89" t="str">
        <x:v>Consulting 1h</x:v>
      </x:c>
      <x:c r="G89" t="n">
        <x:v>3</x:v>
      </x:c>
      <x:c r="H89" s="40" t="n">
        <x:v>154.44</x:v>
      </x:c>
      <x:c r="I89" s="66" t="n">
        <x:v>0.15</x:v>
      </x:c>
      <x:c r="J89" s="40" t="n">
        <x:v>393.82</x:v>
      </x:c>
      <x:c r="K89" s="40" t="n">
        <x:v>165</x:v>
      </x:c>
      <x:c r="L89" s="40" t="n">
        <x:v>228.82</x:v>
      </x:c>
    </x:row>
    <x:row r="90">
      <x:c r="A90" s="38" t="n">
        <x:v>46198</x:v>
      </x:c>
      <x:c r="B90" t="str">
        <x:v>2026-06</x:v>
      </x:c>
      <x:c r="C90" t="str">
        <x:v>Estonia</x:v>
      </x:c>
      <x:c r="D90" t="str">
        <x:v>Daria</x:v>
      </x:c>
      <x:c r="E90" t="str">
        <x:v>Subscription</x:v>
      </x:c>
      <x:c r="F90" t="str">
        <x:v>Starter Kit</x:v>
      </x:c>
      <x:c r="G90" t="n">
        <x:v>6</x:v>
      </x:c>
      <x:c r="H90" s="40" t="n">
        <x:v>51.96</x:v>
      </x:c>
      <x:c r="I90" s="66" t="n">
        <x:v>0</x:v>
      </x:c>
      <x:c r="J90" s="40" t="n">
        <x:v>311.76</x:v>
      </x:c>
      <x:c r="K90" s="40" t="n">
        <x:v>120</x:v>
      </x:c>
      <x:c r="L90" s="40" t="n">
        <x:v>191.76</x:v>
      </x:c>
    </x:row>
    <x:row r="91">
      <x:c r="A91" s="38" t="n">
        <x:v>46172</x:v>
      </x:c>
      <x:c r="B91" t="str">
        <x:v>2026-05</x:v>
      </x:c>
      <x:c r="C91" t="str">
        <x:v>Lithuania</x:v>
      </x:c>
      <x:c r="D91" t="str">
        <x:v>Sofia</x:v>
      </x:c>
      <x:c r="E91" t="str">
        <x:v>Subscription</x:v>
      </x:c>
      <x:c r="F91" t="str">
        <x:v>Starter Kit</x:v>
      </x:c>
      <x:c r="G91" t="n">
        <x:v>6</x:v>
      </x:c>
      <x:c r="H91" s="40" t="n">
        <x:v>53.71</x:v>
      </x:c>
      <x:c r="I91" s="66" t="n">
        <x:v>0.05</x:v>
      </x:c>
      <x:c r="J91" s="40" t="n">
        <x:v>306.15</x:v>
      </x:c>
      <x:c r="K91" s="40" t="n">
        <x:v>120</x:v>
      </x:c>
      <x:c r="L91" s="40" t="n">
        <x:v>186.15</x:v>
      </x:c>
    </x:row>
    <x:row r="92">
      <x:c r="A92" s="38" t="n">
        <x:v>46203</x:v>
      </x:c>
      <x:c r="B92" t="str">
        <x:v>2026-06</x:v>
      </x:c>
      <x:c r="C92" t="str">
        <x:v>Estonia</x:v>
      </x:c>
      <x:c r="D92" t="str">
        <x:v>Olga</x:v>
      </x:c>
      <x:c r="E92" t="str">
        <x:v>Services</x:v>
      </x:c>
      <x:c r="F92" t="str">
        <x:v>Consulting 1h</x:v>
      </x:c>
      <x:c r="G92" t="n">
        <x:v>6</x:v>
      </x:c>
      <x:c r="H92" s="40" t="n">
        <x:v>143.23</x:v>
      </x:c>
      <x:c r="I92" s="66" t="n">
        <x:v>0</x:v>
      </x:c>
      <x:c r="J92" s="40" t="n">
        <x:v>859.38</x:v>
      </x:c>
      <x:c r="K92" s="40" t="n">
        <x:v>330</x:v>
      </x:c>
      <x:c r="L92" s="40" t="n">
        <x:v>529.38</x:v>
      </x:c>
    </x:row>
    <x:row r="93">
      <x:c r="A93" s="38" t="n">
        <x:v>46074</x:v>
      </x:c>
      <x:c r="B93" t="str">
        <x:v>2026-02</x:v>
      </x:c>
      <x:c r="C93" t="str">
        <x:v>Latvia</x:v>
      </x:c>
      <x:c r="D93" t="str">
        <x:v>Olga</x:v>
      </x:c>
      <x:c r="E93" t="str">
        <x:v>Digital</x:v>
      </x:c>
      <x:c r="F93" t="str">
        <x:v>CRM Template</x:v>
      </x:c>
      <x:c r="G93" t="n">
        <x:v>2</x:v>
      </x:c>
      <x:c r="H93" s="40" t="n">
        <x:v>99.59</x:v>
      </x:c>
      <x:c r="I93" s="66" t="n">
        <x:v>0.1</x:v>
      </x:c>
      <x:c r="J93" s="40" t="n">
        <x:v>179.26</x:v>
      </x:c>
      <x:c r="K93" s="40" t="n">
        <x:v>20</x:v>
      </x:c>
      <x:c r="L93" s="40" t="n">
        <x:v>159.26</x:v>
      </x:c>
    </x:row>
    <x:row r="94">
      <x:c r="A94" s="38" t="n">
        <x:v>46136</x:v>
      </x:c>
      <x:c r="B94" t="str">
        <x:v>2026-04</x:v>
      </x:c>
      <x:c r="C94" t="str">
        <x:v>Poland</x:v>
      </x:c>
      <x:c r="D94" t="str">
        <x:v>Olga</x:v>
      </x:c>
      <x:c r="E94" t="str">
        <x:v>Services</x:v>
      </x:c>
      <x:c r="F94" t="str">
        <x:v>Consulting 1h</x:v>
      </x:c>
      <x:c r="G94" t="n">
        <x:v>1</x:v>
      </x:c>
      <x:c r="H94" s="40" t="n">
        <x:v>153.87</x:v>
      </x:c>
      <x:c r="I94" s="66" t="n">
        <x:v>0</x:v>
      </x:c>
      <x:c r="J94" s="40" t="n">
        <x:v>153.87</x:v>
      </x:c>
      <x:c r="K94" s="40" t="n">
        <x:v>55</x:v>
      </x:c>
      <x:c r="L94" s="40" t="n">
        <x:v>98.87</x:v>
      </x:c>
    </x:row>
    <x:row r="95">
      <x:c r="A95" s="38" t="n">
        <x:v>46189</x:v>
      </x:c>
      <x:c r="B95" t="str">
        <x:v>2026-06</x:v>
      </x:c>
      <x:c r="C95" t="str">
        <x:v>Finland</x:v>
      </x:c>
      <x:c r="D95" t="str">
        <x:v>Elena</x:v>
      </x:c>
      <x:c r="E95" t="str">
        <x:v>Digital</x:v>
      </x:c>
      <x:c r="F95" t="str">
        <x:v>CRM Template</x:v>
      </x:c>
      <x:c r="G95" t="n">
        <x:v>8</x:v>
      </x:c>
      <x:c r="H95" s="40" t="n">
        <x:v>85.92</x:v>
      </x:c>
      <x:c r="I95" s="66" t="n">
        <x:v>0.15</x:v>
      </x:c>
      <x:c r="J95" s="40" t="n">
        <x:v>584.26</x:v>
      </x:c>
      <x:c r="K95" s="40" t="n">
        <x:v>80</x:v>
      </x:c>
      <x:c r="L95" s="40" t="n">
        <x:v>504.26</x:v>
      </x:c>
    </x:row>
    <x:row r="96">
      <x:c r="A96" s="38" t="n">
        <x:v>46156</x:v>
      </x:c>
      <x:c r="B96" t="str">
        <x:v>2026-05</x:v>
      </x:c>
      <x:c r="C96" t="str">
        <x:v>Lithuania</x:v>
      </x:c>
      <x:c r="D96" t="str">
        <x:v>Sofia</x:v>
      </x:c>
      <x:c r="E96" t="str">
        <x:v>Digital</x:v>
      </x:c>
      <x:c r="F96" t="str">
        <x:v>Dashboard Template</x:v>
      </x:c>
      <x:c r="G96" t="n">
        <x:v>1</x:v>
      </x:c>
      <x:c r="H96" s="40" t="n">
        <x:v>78.27</x:v>
      </x:c>
      <x:c r="I96" s="66" t="n">
        <x:v>0.15</x:v>
      </x:c>
      <x:c r="J96" s="40" t="n">
        <x:v>66.53</x:v>
      </x:c>
      <x:c r="K96" s="40" t="n">
        <x:v>8</x:v>
      </x:c>
      <x:c r="L96" s="40" t="n">
        <x:v>58.53</x:v>
      </x:c>
    </x:row>
    <x:row r="97">
      <x:c r="A97" s="38" t="n">
        <x:v>46104</x:v>
      </x:c>
      <x:c r="B97" t="str">
        <x:v>2026-03</x:v>
      </x:c>
      <x:c r="C97" t="str">
        <x:v>Estonia</x:v>
      </x:c>
      <x:c r="D97" t="str">
        <x:v>Elena</x:v>
      </x:c>
      <x:c r="E97" t="str">
        <x:v>Digital</x:v>
      </x:c>
      <x:c r="F97" t="str">
        <x:v>Dashboard Template</x:v>
      </x:c>
      <x:c r="G97" t="n">
        <x:v>1</x:v>
      </x:c>
      <x:c r="H97" s="40" t="n">
        <x:v>78.63</x:v>
      </x:c>
      <x:c r="I97" s="66" t="n">
        <x:v>0.1</x:v>
      </x:c>
      <x:c r="J97" s="40" t="n">
        <x:v>70.77</x:v>
      </x:c>
      <x:c r="K97" s="40" t="n">
        <x:v>8</x:v>
      </x:c>
      <x:c r="L97" s="40" t="n">
        <x:v>62.77</x:v>
      </x:c>
    </x:row>
    <x:row r="98">
      <x:c r="A98" s="38" t="n">
        <x:v>46174</x:v>
      </x:c>
      <x:c r="B98" t="str">
        <x:v>2026-06</x:v>
      </x:c>
      <x:c r="C98" t="str">
        <x:v>Finland</x:v>
      </x:c>
      <x:c r="D98" t="str">
        <x:v>Sofia</x:v>
      </x:c>
      <x:c r="E98" t="str">
        <x:v>Services</x:v>
      </x:c>
      <x:c r="F98" t="str">
        <x:v>Consulting 1h</x:v>
      </x:c>
      <x:c r="G98" t="n">
        <x:v>5</x:v>
      </x:c>
      <x:c r="H98" s="40" t="n">
        <x:v>169.58</x:v>
      </x:c>
      <x:c r="I98" s="66" t="n">
        <x:v>0.1</x:v>
      </x:c>
      <x:c r="J98" s="40" t="n">
        <x:v>763.11</x:v>
      </x:c>
      <x:c r="K98" s="40" t="n">
        <x:v>275</x:v>
      </x:c>
      <x:c r="L98" s="40" t="n">
        <x:v>488.11</x:v>
      </x:c>
    </x:row>
    <x:row r="99">
      <x:c r="A99" s="38" t="n">
        <x:v>46140</x:v>
      </x:c>
      <x:c r="B99" t="str">
        <x:v>2026-04</x:v>
      </x:c>
      <x:c r="C99" t="str">
        <x:v>Estonia</x:v>
      </x:c>
      <x:c r="D99" t="str">
        <x:v>Daria</x:v>
      </x:c>
      <x:c r="E99" t="str">
        <x:v>Education</x:v>
      </x:c>
      <x:c r="F99" t="str">
        <x:v>Training Session</x:v>
      </x:c>
      <x:c r="G99" t="n">
        <x:v>3</x:v>
      </x:c>
      <x:c r="H99" s="40" t="n">
        <x:v>215.42</x:v>
      </x:c>
      <x:c r="I99" s="66" t="n">
        <x:v>0</x:v>
      </x:c>
      <x:c r="J99" s="40" t="n">
        <x:v>646.26</x:v>
      </x:c>
      <x:c r="K99" s="40" t="n">
        <x:v>210</x:v>
      </x:c>
      <x:c r="L99" s="40" t="n">
        <x:v>436.26</x:v>
      </x:c>
    </x:row>
    <x:row r="100">
      <x:c r="A100" s="38" t="n">
        <x:v>46078</x:v>
      </x:c>
      <x:c r="B100" t="str">
        <x:v>2026-02</x:v>
      </x:c>
      <x:c r="C100" t="str">
        <x:v>Estonia</x:v>
      </x:c>
      <x:c r="D100" t="str">
        <x:v>Olga</x:v>
      </x:c>
      <x:c r="E100" t="str">
        <x:v>Digital</x:v>
      </x:c>
      <x:c r="F100" t="str">
        <x:v>Dashboard Template</x:v>
      </x:c>
      <x:c r="G100" t="n">
        <x:v>8</x:v>
      </x:c>
      <x:c r="H100" s="40" t="n">
        <x:v>67.19</x:v>
      </x:c>
      <x:c r="I100" s="66" t="n">
        <x:v>0</x:v>
      </x:c>
      <x:c r="J100" s="40" t="n">
        <x:v>537.52</x:v>
      </x:c>
      <x:c r="K100" s="40" t="n">
        <x:v>64</x:v>
      </x:c>
      <x:c r="L100" s="40" t="n">
        <x:v>473.52</x:v>
      </x:c>
    </x:row>
    <x:row r="101">
      <x:c r="A101" s="38" t="n">
        <x:v>46031</x:v>
      </x:c>
      <x:c r="B101" t="str">
        <x:v>2026-01</x:v>
      </x:c>
      <x:c r="C101" t="str">
        <x:v>Latvia</x:v>
      </x:c>
      <x:c r="D101" t="str">
        <x:v>Anna</x:v>
      </x:c>
      <x:c r="E101" t="str">
        <x:v>Digital</x:v>
      </x:c>
      <x:c r="F101" t="str">
        <x:v>CRM Template</x:v>
      </x:c>
      <x:c r="G101" t="n">
        <x:v>8</x:v>
      </x:c>
      <x:c r="H101" s="40" t="n">
        <x:v>90.72</x:v>
      </x:c>
      <x:c r="I101" s="66" t="n">
        <x:v>0.15</x:v>
      </x:c>
      <x:c r="J101" s="40" t="n">
        <x:v>616.9</x:v>
      </x:c>
      <x:c r="K101" s="40" t="n">
        <x:v>80</x:v>
      </x:c>
      <x:c r="L101" s="40" t="n">
        <x:v>536.9</x:v>
      </x:c>
    </x:row>
    <x:row r="102">
      <x:c r="A102" s="38" t="n">
        <x:v>46136</x:v>
      </x:c>
      <x:c r="B102" t="str">
        <x:v>2026-04</x:v>
      </x:c>
      <x:c r="C102" t="str">
        <x:v>Lithuania</x:v>
      </x:c>
      <x:c r="D102" t="str">
        <x:v>Daria</x:v>
      </x:c>
      <x:c r="E102" t="str">
        <x:v>Services</x:v>
      </x:c>
      <x:c r="F102" t="str">
        <x:v>Setup Package</x:v>
      </x:c>
      <x:c r="G102" t="n">
        <x:v>5</x:v>
      </x:c>
      <x:c r="H102" s="40" t="n">
        <x:v>387.65</x:v>
      </x:c>
      <x:c r="I102" s="66" t="n">
        <x:v>0.05</x:v>
      </x:c>
      <x:c r="J102" s="40" t="n">
        <x:v>1841.34</x:v>
      </x:c>
      <x:c r="K102" s="40" t="n">
        <x:v>800</x:v>
      </x:c>
      <x:c r="L102" s="40" t="n">
        <x:v>1041.34</x:v>
      </x:c>
    </x:row>
    <x:row r="103">
      <x:c r="A103" s="38" t="n">
        <x:v>46094</x:v>
      </x:c>
      <x:c r="B103" t="str">
        <x:v>2026-03</x:v>
      </x:c>
      <x:c r="C103" t="str">
        <x:v>Latvia</x:v>
      </x:c>
      <x:c r="D103" t="str">
        <x:v>Maria</x:v>
      </x:c>
      <x:c r="E103" t="str">
        <x:v>Services</x:v>
      </x:c>
      <x:c r="F103" t="str">
        <x:v>Setup Package</x:v>
      </x:c>
      <x:c r="G103" t="n">
        <x:v>8</x:v>
      </x:c>
      <x:c r="H103" s="40" t="n">
        <x:v>425.36</x:v>
      </x:c>
      <x:c r="I103" s="66" t="n">
        <x:v>0</x:v>
      </x:c>
      <x:c r="J103" s="40" t="n">
        <x:v>3402.88</x:v>
      </x:c>
      <x:c r="K103" s="40" t="n">
        <x:v>1280</x:v>
      </x:c>
      <x:c r="L103" s="40" t="n">
        <x:v>2122.88</x:v>
      </x:c>
    </x:row>
    <x:row r="104">
      <x:c r="A104" s="38" t="n">
        <x:v>46069</x:v>
      </x:c>
      <x:c r="B104" t="str">
        <x:v>2026-02</x:v>
      </x:c>
      <x:c r="C104" t="str">
        <x:v>Finland</x:v>
      </x:c>
      <x:c r="D104" t="str">
        <x:v>Maria</x:v>
      </x:c>
      <x:c r="E104" t="str">
        <x:v>Digital</x:v>
      </x:c>
      <x:c r="F104" t="str">
        <x:v>Dashboard Template</x:v>
      </x:c>
      <x:c r="G104" t="n">
        <x:v>5</x:v>
      </x:c>
      <x:c r="H104" s="40" t="n">
        <x:v>64.88</x:v>
      </x:c>
      <x:c r="I104" s="66" t="n">
        <x:v>0</x:v>
      </x:c>
      <x:c r="J104" s="40" t="n">
        <x:v>324.4</x:v>
      </x:c>
      <x:c r="K104" s="40" t="n">
        <x:v>40</x:v>
      </x:c>
      <x:c r="L104" s="40" t="n">
        <x:v>284.4</x:v>
      </x:c>
    </x:row>
    <x:row r="105">
      <x:c r="A105" s="38" t="n">
        <x:v>46046</x:v>
      </x:c>
      <x:c r="B105" t="str">
        <x:v>2026-01</x:v>
      </x:c>
      <x:c r="C105" t="str">
        <x:v>Latvia</x:v>
      </x:c>
      <x:c r="D105" t="str">
        <x:v>Daria</x:v>
      </x:c>
      <x:c r="E105" t="str">
        <x:v>Services</x:v>
      </x:c>
      <x:c r="F105" t="str">
        <x:v>Consulting 1h</x:v>
      </x:c>
      <x:c r="G105" t="n">
        <x:v>3</x:v>
      </x:c>
      <x:c r="H105" s="40" t="n">
        <x:v>166.16</x:v>
      </x:c>
      <x:c r="I105" s="66" t="n">
        <x:v>0</x:v>
      </x:c>
      <x:c r="J105" s="40" t="n">
        <x:v>498.48</x:v>
      </x:c>
      <x:c r="K105" s="40" t="n">
        <x:v>165</x:v>
      </x:c>
      <x:c r="L105" s="40" t="n">
        <x:v>333.48</x:v>
      </x:c>
    </x:row>
    <x:row r="106">
      <x:c r="A106" s="38" t="n">
        <x:v>46138</x:v>
      </x:c>
      <x:c r="B106" t="str">
        <x:v>2026-04</x:v>
      </x:c>
      <x:c r="C106" t="str">
        <x:v>Poland</x:v>
      </x:c>
      <x:c r="D106" t="str">
        <x:v>Olga</x:v>
      </x:c>
      <x:c r="E106" t="str">
        <x:v>Services</x:v>
      </x:c>
      <x:c r="F106" t="str">
        <x:v>Consulting 1h</x:v>
      </x:c>
      <x:c r="G106" t="n">
        <x:v>8</x:v>
      </x:c>
      <x:c r="H106" s="40" t="n">
        <x:v>143.14</x:v>
      </x:c>
      <x:c r="I106" s="66" t="n">
        <x:v>0.15</x:v>
      </x:c>
      <x:c r="J106" s="40" t="n">
        <x:v>973.35</x:v>
      </x:c>
      <x:c r="K106" s="40" t="n">
        <x:v>440</x:v>
      </x:c>
      <x:c r="L106" s="40" t="n">
        <x:v>533.35</x:v>
      </x:c>
    </x:row>
    <x:row r="107">
      <x:c r="A107" s="38" t="n">
        <x:v>46035</x:v>
      </x:c>
      <x:c r="B107" t="str">
        <x:v>2026-01</x:v>
      </x:c>
      <x:c r="C107" t="str">
        <x:v>Latvia</x:v>
      </x:c>
      <x:c r="D107" t="str">
        <x:v>Olga</x:v>
      </x:c>
      <x:c r="E107" t="str">
        <x:v>Subscription</x:v>
      </x:c>
      <x:c r="F107" t="str">
        <x:v>Pro Plan</x:v>
      </x:c>
      <x:c r="G107" t="n">
        <x:v>2</x:v>
      </x:c>
      <x:c r="H107" s="40" t="n">
        <x:v>116.4</x:v>
      </x:c>
      <x:c r="I107" s="66" t="n">
        <x:v>0.15</x:v>
      </x:c>
      <x:c r="J107" s="40" t="n">
        <x:v>197.88</x:v>
      </x:c>
      <x:c r="K107" s="40" t="n">
        <x:v>90</x:v>
      </x:c>
      <x:c r="L107" s="40" t="n">
        <x:v>107.88</x:v>
      </x:c>
    </x:row>
    <x:row r="108">
      <x:c r="A108" s="38" t="n">
        <x:v>46112</x:v>
      </x:c>
      <x:c r="B108" t="str">
        <x:v>2026-03</x:v>
      </x:c>
      <x:c r="C108" t="str">
        <x:v>Lithuania</x:v>
      </x:c>
      <x:c r="D108" t="str">
        <x:v>Anna</x:v>
      </x:c>
      <x:c r="E108" t="str">
        <x:v>Subscription</x:v>
      </x:c>
      <x:c r="F108" t="str">
        <x:v>Starter Kit</x:v>
      </x:c>
      <x:c r="G108" t="n">
        <x:v>1</x:v>
      </x:c>
      <x:c r="H108" s="40" t="n">
        <x:v>51.74</x:v>
      </x:c>
      <x:c r="I108" s="66" t="n">
        <x:v>0.1</x:v>
      </x:c>
      <x:c r="J108" s="40" t="n">
        <x:v>46.57</x:v>
      </x:c>
      <x:c r="K108" s="40" t="n">
        <x:v>20</x:v>
      </x:c>
      <x:c r="L108" s="40" t="n">
        <x:v>26.57</x:v>
      </x:c>
    </x:row>
    <x:row r="109">
      <x:c r="A109" s="38" t="n">
        <x:v>46075</x:v>
      </x:c>
      <x:c r="B109" t="str">
        <x:v>2026-02</x:v>
      </x:c>
      <x:c r="C109" t="str">
        <x:v>Poland</x:v>
      </x:c>
      <x:c r="D109" t="str">
        <x:v>Olga</x:v>
      </x:c>
      <x:c r="E109" t="str">
        <x:v>Subscription</x:v>
      </x:c>
      <x:c r="F109" t="str">
        <x:v>Pro Plan</x:v>
      </x:c>
      <x:c r="G109" t="n">
        <x:v>4</x:v>
      </x:c>
      <x:c r="H109" s="40" t="n">
        <x:v>137.87</x:v>
      </x:c>
      <x:c r="I109" s="66" t="n">
        <x:v>0.05</x:v>
      </x:c>
      <x:c r="J109" s="40" t="n">
        <x:v>523.91</x:v>
      </x:c>
      <x:c r="K109" s="40" t="n">
        <x:v>180</x:v>
      </x:c>
      <x:c r="L109" s="40" t="n">
        <x:v>343.91</x:v>
      </x:c>
    </x:row>
    <x:row r="110">
      <x:c r="A110" s="38" t="n">
        <x:v>46128</x:v>
      </x:c>
      <x:c r="B110" t="str">
        <x:v>2026-04</x:v>
      </x:c>
      <x:c r="C110" t="str">
        <x:v>Estonia</x:v>
      </x:c>
      <x:c r="D110" t="str">
        <x:v>Maria</x:v>
      </x:c>
      <x:c r="E110" t="str">
        <x:v>Education</x:v>
      </x:c>
      <x:c r="F110" t="str">
        <x:v>Training Session</x:v>
      </x:c>
      <x:c r="G110" t="n">
        <x:v>2</x:v>
      </x:c>
      <x:c r="H110" s="40" t="n">
        <x:v>213.01</x:v>
      </x:c>
      <x:c r="I110" s="66" t="n">
        <x:v>0.05</x:v>
      </x:c>
      <x:c r="J110" s="40" t="n">
        <x:v>404.72</x:v>
      </x:c>
      <x:c r="K110" s="40" t="n">
        <x:v>140</x:v>
      </x:c>
      <x:c r="L110" s="40" t="n">
        <x:v>264.72</x:v>
      </x:c>
    </x:row>
    <x:row r="111">
      <x:c r="A111" s="38" t="n">
        <x:v>46122</x:v>
      </x:c>
      <x:c r="B111" t="str">
        <x:v>2026-04</x:v>
      </x:c>
      <x:c r="C111" t="str">
        <x:v>Estonia</x:v>
      </x:c>
      <x:c r="D111" t="str">
        <x:v>Olga</x:v>
      </x:c>
      <x:c r="E111" t="str">
        <x:v>Digital</x:v>
      </x:c>
      <x:c r="F111" t="str">
        <x:v>CRM Template</x:v>
      </x:c>
      <x:c r="G111" t="n">
        <x:v>4</x:v>
      </x:c>
      <x:c r="H111" s="40" t="n">
        <x:v>81.07</x:v>
      </x:c>
      <x:c r="I111" s="66" t="n">
        <x:v>0</x:v>
      </x:c>
      <x:c r="J111" s="40" t="n">
        <x:v>324.28</x:v>
      </x:c>
      <x:c r="K111" s="40" t="n">
        <x:v>40</x:v>
      </x:c>
      <x:c r="L111" s="40" t="n">
        <x:v>284.28</x:v>
      </x:c>
    </x:row>
    <x:row r="112">
      <x:c r="A112" s="38" t="n">
        <x:v>46163</x:v>
      </x:c>
      <x:c r="B112" t="str">
        <x:v>2026-05</x:v>
      </x:c>
      <x:c r="C112" t="str">
        <x:v>Lithuania</x:v>
      </x:c>
      <x:c r="D112" t="str">
        <x:v>Maria</x:v>
      </x:c>
      <x:c r="E112" t="str">
        <x:v>Services</x:v>
      </x:c>
      <x:c r="F112" t="str">
        <x:v>Setup Package</x:v>
      </x:c>
      <x:c r="G112" t="n">
        <x:v>3</x:v>
      </x:c>
      <x:c r="H112" s="40" t="n">
        <x:v>356.52</x:v>
      </x:c>
      <x:c r="I112" s="66" t="n">
        <x:v>0</x:v>
      </x:c>
      <x:c r="J112" s="40" t="n">
        <x:v>1069.56</x:v>
      </x:c>
      <x:c r="K112" s="40" t="n">
        <x:v>480</x:v>
      </x:c>
      <x:c r="L112" s="40" t="n">
        <x:v>589.56</x:v>
      </x:c>
    </x:row>
    <x:row r="113">
      <x:c r="A113" s="38" t="n">
        <x:v>46114</x:v>
      </x:c>
      <x:c r="B113" t="str">
        <x:v>2026-04</x:v>
      </x:c>
      <x:c r="C113" t="str">
        <x:v>Poland</x:v>
      </x:c>
      <x:c r="D113" t="str">
        <x:v>Maria</x:v>
      </x:c>
      <x:c r="E113" t="str">
        <x:v>Services</x:v>
      </x:c>
      <x:c r="F113" t="str">
        <x:v>Setup Package</x:v>
      </x:c>
      <x:c r="G113" t="n">
        <x:v>2</x:v>
      </x:c>
      <x:c r="H113" s="40" t="n">
        <x:v>437.36</x:v>
      </x:c>
      <x:c r="I113" s="66" t="n">
        <x:v>0.15</x:v>
      </x:c>
      <x:c r="J113" s="40" t="n">
        <x:v>743.51</x:v>
      </x:c>
      <x:c r="K113" s="40" t="n">
        <x:v>320</x:v>
      </x:c>
      <x:c r="L113" s="40" t="n">
        <x:v>423.51</x:v>
      </x:c>
    </x:row>
    <x:row r="114">
      <x:c r="A114" s="38" t="n">
        <x:v>46112</x:v>
      </x:c>
      <x:c r="B114" t="str">
        <x:v>2026-03</x:v>
      </x:c>
      <x:c r="C114" t="str">
        <x:v>Lithuania</x:v>
      </x:c>
      <x:c r="D114" t="str">
        <x:v>Sofia</x:v>
      </x:c>
      <x:c r="E114" t="str">
        <x:v>Digital</x:v>
      </x:c>
      <x:c r="F114" t="str">
        <x:v>Dashboard Template</x:v>
      </x:c>
      <x:c r="G114" t="n">
        <x:v>4</x:v>
      </x:c>
      <x:c r="H114" s="40" t="n">
        <x:v>74.21</x:v>
      </x:c>
      <x:c r="I114" s="66" t="n">
        <x:v>0</x:v>
      </x:c>
      <x:c r="J114" s="40" t="n">
        <x:v>296.84</x:v>
      </x:c>
      <x:c r="K114" s="40" t="n">
        <x:v>32</x:v>
      </x:c>
      <x:c r="L114" s="40" t="n">
        <x:v>264.84</x:v>
      </x:c>
    </x:row>
    <x:row r="115">
      <x:c r="A115" s="38" t="n">
        <x:v>46052</x:v>
      </x:c>
      <x:c r="B115" t="str">
        <x:v>2026-01</x:v>
      </x:c>
      <x:c r="C115" t="str">
        <x:v>Lithuania</x:v>
      </x:c>
      <x:c r="D115" t="str">
        <x:v>Olga</x:v>
      </x:c>
      <x:c r="E115" t="str">
        <x:v>Education</x:v>
      </x:c>
      <x:c r="F115" t="str">
        <x:v>Training Session</x:v>
      </x:c>
      <x:c r="G115" t="n">
        <x:v>1</x:v>
      </x:c>
      <x:c r="H115" s="40" t="n">
        <x:v>211.75</x:v>
      </x:c>
      <x:c r="I115" s="66" t="n">
        <x:v>0.1</x:v>
      </x:c>
      <x:c r="J115" s="40" t="n">
        <x:v>190.58</x:v>
      </x:c>
      <x:c r="K115" s="40" t="n">
        <x:v>70</x:v>
      </x:c>
      <x:c r="L115" s="40" t="n">
        <x:v>120.58</x:v>
      </x:c>
    </x:row>
    <x:row r="116">
      <x:c r="A116" s="38" t="n">
        <x:v>46191</x:v>
      </x:c>
      <x:c r="B116" t="str">
        <x:v>2026-06</x:v>
      </x:c>
      <x:c r="C116" t="str">
        <x:v>Estonia</x:v>
      </x:c>
      <x:c r="D116" t="str">
        <x:v>Sofia</x:v>
      </x:c>
      <x:c r="E116" t="str">
        <x:v>Digital</x:v>
      </x:c>
      <x:c r="F116" t="str">
        <x:v>CRM Template</x:v>
      </x:c>
      <x:c r="G116" t="n">
        <x:v>5</x:v>
      </x:c>
      <x:c r="H116" s="40" t="n">
        <x:v>80.33</x:v>
      </x:c>
      <x:c r="I116" s="66" t="n">
        <x:v>0</x:v>
      </x:c>
      <x:c r="J116" s="40" t="n">
        <x:v>401.65</x:v>
      </x:c>
      <x:c r="K116" s="40" t="n">
        <x:v>50</x:v>
      </x:c>
      <x:c r="L116" s="40" t="n">
        <x:v>351.65</x:v>
      </x:c>
    </x:row>
    <x:row r="117">
      <x:c r="A117" s="38" t="n">
        <x:v>46174</x:v>
      </x:c>
      <x:c r="B117" t="str">
        <x:v>2026-06</x:v>
      </x:c>
      <x:c r="C117" t="str">
        <x:v>Lithuania</x:v>
      </x:c>
      <x:c r="D117" t="str">
        <x:v>Maria</x:v>
      </x:c>
      <x:c r="E117" t="str">
        <x:v>Subscription</x:v>
      </x:c>
      <x:c r="F117" t="str">
        <x:v>Starter Kit</x:v>
      </x:c>
      <x:c r="G117" t="n">
        <x:v>2</x:v>
      </x:c>
      <x:c r="H117" s="40" t="n">
        <x:v>47.51</x:v>
      </x:c>
      <x:c r="I117" s="66" t="n">
        <x:v>0</x:v>
      </x:c>
      <x:c r="J117" s="40" t="n">
        <x:v>95.02</x:v>
      </x:c>
      <x:c r="K117" s="40" t="n">
        <x:v>40</x:v>
      </x:c>
      <x:c r="L117" s="40" t="n">
        <x:v>55.02</x:v>
      </x:c>
    </x:row>
    <x:row r="118">
      <x:c r="A118" s="38" t="n">
        <x:v>46076</x:v>
      </x:c>
      <x:c r="B118" t="str">
        <x:v>2026-02</x:v>
      </x:c>
      <x:c r="C118" t="str">
        <x:v>Latvia</x:v>
      </x:c>
      <x:c r="D118" t="str">
        <x:v>Sofia</x:v>
      </x:c>
      <x:c r="E118" t="str">
        <x:v>Education</x:v>
      </x:c>
      <x:c r="F118" t="str">
        <x:v>Training Session</x:v>
      </x:c>
      <x:c r="G118" t="n">
        <x:v>8</x:v>
      </x:c>
      <x:c r="H118" s="40" t="n">
        <x:v>213</x:v>
      </x:c>
      <x:c r="I118" s="66" t="n">
        <x:v>0.15</x:v>
      </x:c>
      <x:c r="J118" s="40" t="n">
        <x:v>1448.4</x:v>
      </x:c>
      <x:c r="K118" s="40" t="n">
        <x:v>560</x:v>
      </x:c>
      <x:c r="L118" s="40" t="n">
        <x:v>888.4</x:v>
      </x:c>
    </x:row>
    <x:row r="119">
      <x:c r="A119" s="38" t="n">
        <x:v>46101</x:v>
      </x:c>
      <x:c r="B119" t="str">
        <x:v>2026-03</x:v>
      </x:c>
      <x:c r="C119" t="str">
        <x:v>Latvia</x:v>
      </x:c>
      <x:c r="D119" t="str">
        <x:v>Olga</x:v>
      </x:c>
      <x:c r="E119" t="str">
        <x:v>Digital</x:v>
      </x:c>
      <x:c r="F119" t="str">
        <x:v>Dashboard Template</x:v>
      </x:c>
      <x:c r="G119" t="n">
        <x:v>7</x:v>
      </x:c>
      <x:c r="H119" s="40" t="n">
        <x:v>63.12</x:v>
      </x:c>
      <x:c r="I119" s="66" t="n">
        <x:v>0</x:v>
      </x:c>
      <x:c r="J119" s="40" t="n">
        <x:v>441.84</x:v>
      </x:c>
      <x:c r="K119" s="40" t="n">
        <x:v>56</x:v>
      </x:c>
      <x:c r="L119" s="40" t="n">
        <x:v>385.84</x:v>
      </x:c>
    </x:row>
    <x:row r="120">
      <x:c r="A120" s="38" t="n">
        <x:v>46077</x:v>
      </x:c>
      <x:c r="B120" t="str">
        <x:v>2026-02</x:v>
      </x:c>
      <x:c r="C120" t="str">
        <x:v>Latvia</x:v>
      </x:c>
      <x:c r="D120" t="str">
        <x:v>Elena</x:v>
      </x:c>
      <x:c r="E120" t="str">
        <x:v>Subscription</x:v>
      </x:c>
      <x:c r="F120" t="str">
        <x:v>Pro Plan</x:v>
      </x:c>
      <x:c r="G120" t="n">
        <x:v>2</x:v>
      </x:c>
      <x:c r="H120" s="40" t="n">
        <x:v>130.88</x:v>
      </x:c>
      <x:c r="I120" s="66" t="n">
        <x:v>0</x:v>
      </x:c>
      <x:c r="J120" s="40" t="n">
        <x:v>261.76</x:v>
      </x:c>
      <x:c r="K120" s="40" t="n">
        <x:v>90</x:v>
      </x:c>
      <x:c r="L120" s="40" t="n">
        <x:v>171.76</x:v>
      </x:c>
    </x:row>
    <x:row r="121">
      <x:c r="A121" s="38" t="n">
        <x:v>46121</x:v>
      </x:c>
      <x:c r="B121" t="str">
        <x:v>2026-04</x:v>
      </x:c>
      <x:c r="C121" t="str">
        <x:v>Estonia</x:v>
      </x:c>
      <x:c r="D121" t="str">
        <x:v>Daria</x:v>
      </x:c>
      <x:c r="E121" t="str">
        <x:v>Digital</x:v>
      </x:c>
      <x:c r="F121" t="str">
        <x:v>CRM Template</x:v>
      </x:c>
      <x:c r="G121" t="n">
        <x:v>2</x:v>
      </x:c>
      <x:c r="H121" s="40" t="n">
        <x:v>85.4</x:v>
      </x:c>
      <x:c r="I121" s="66" t="n">
        <x:v>0.05</x:v>
      </x:c>
      <x:c r="J121" s="40" t="n">
        <x:v>162.26</x:v>
      </x:c>
      <x:c r="K121" s="40" t="n">
        <x:v>20</x:v>
      </x:c>
      <x:c r="L121" s="40" t="n">
        <x:v>142.26</x:v>
      </x:c>
    </x:row>
    <x:row r="122">
      <x:c r="A122" s="38" t="n">
        <x:v>46203</x:v>
      </x:c>
      <x:c r="B122" t="str">
        <x:v>2026-06</x:v>
      </x:c>
      <x:c r="C122" t="str">
        <x:v>Lithuania</x:v>
      </x:c>
      <x:c r="D122" t="str">
        <x:v>Anna</x:v>
      </x:c>
      <x:c r="E122" t="str">
        <x:v>Services</x:v>
      </x:c>
      <x:c r="F122" t="str">
        <x:v>Consulting 1h</x:v>
      </x:c>
      <x:c r="G122" t="n">
        <x:v>8</x:v>
      </x:c>
      <x:c r="H122" s="40" t="n">
        <x:v>164.97</x:v>
      </x:c>
      <x:c r="I122" s="66" t="n">
        <x:v>0.05</x:v>
      </x:c>
      <x:c r="J122" s="40" t="n">
        <x:v>1253.77</x:v>
      </x:c>
      <x:c r="K122" s="40" t="n">
        <x:v>440</x:v>
      </x:c>
      <x:c r="L122" s="40" t="n">
        <x:v>813.77</x:v>
      </x:c>
    </x:row>
    <x:row r="123">
      <x:c r="A123" s="38" t="n">
        <x:v>46135</x:v>
      </x:c>
      <x:c r="B123" t="str">
        <x:v>2026-04</x:v>
      </x:c>
      <x:c r="C123" t="str">
        <x:v>Poland</x:v>
      </x:c>
      <x:c r="D123" t="str">
        <x:v>Anna</x:v>
      </x:c>
      <x:c r="E123" t="str">
        <x:v>Subscription</x:v>
      </x:c>
      <x:c r="F123" t="str">
        <x:v>Starter Kit</x:v>
      </x:c>
      <x:c r="G123" t="n">
        <x:v>7</x:v>
      </x:c>
      <x:c r="H123" s="40" t="n">
        <x:v>45.24</x:v>
      </x:c>
      <x:c r="I123" s="66" t="n">
        <x:v>0</x:v>
      </x:c>
      <x:c r="J123" s="40" t="n">
        <x:v>316.68</x:v>
      </x:c>
      <x:c r="K123" s="40" t="n">
        <x:v>140</x:v>
      </x:c>
      <x:c r="L123" s="40" t="n">
        <x:v>176.68</x:v>
      </x:c>
    </x:row>
    <x:row r="124">
      <x:c r="A124" s="38" t="n">
        <x:v>46190</x:v>
      </x:c>
      <x:c r="B124" t="str">
        <x:v>2026-06</x:v>
      </x:c>
      <x:c r="C124" t="str">
        <x:v>Estonia</x:v>
      </x:c>
      <x:c r="D124" t="str">
        <x:v>Elena</x:v>
      </x:c>
      <x:c r="E124" t="str">
        <x:v>Digital</x:v>
      </x:c>
      <x:c r="F124" t="str">
        <x:v>Dashboard Template</x:v>
      </x:c>
      <x:c r="G124" t="n">
        <x:v>2</x:v>
      </x:c>
      <x:c r="H124" s="40" t="n">
        <x:v>69.92</x:v>
      </x:c>
      <x:c r="I124" s="66" t="n">
        <x:v>0.15</x:v>
      </x:c>
      <x:c r="J124" s="40" t="n">
        <x:v>118.86</x:v>
      </x:c>
      <x:c r="K124" s="40" t="n">
        <x:v>16</x:v>
      </x:c>
      <x:c r="L124" s="40" t="n">
        <x:v>102.86</x:v>
      </x:c>
    </x:row>
    <x:row r="125">
      <x:c r="A125" s="38" t="n">
        <x:v>46143</x:v>
      </x:c>
      <x:c r="B125" t="str">
        <x:v>2026-05</x:v>
      </x:c>
      <x:c r="C125" t="str">
        <x:v>Latvia</x:v>
      </x:c>
      <x:c r="D125" t="str">
        <x:v>Sofia</x:v>
      </x:c>
      <x:c r="E125" t="str">
        <x:v>Subscription</x:v>
      </x:c>
      <x:c r="F125" t="str">
        <x:v>Starter Kit</x:v>
      </x:c>
      <x:c r="G125" t="n">
        <x:v>2</x:v>
      </x:c>
      <x:c r="H125" s="40" t="n">
        <x:v>54.04</x:v>
      </x:c>
      <x:c r="I125" s="66" t="n">
        <x:v>0.15</x:v>
      </x:c>
      <x:c r="J125" s="40" t="n">
        <x:v>91.87</x:v>
      </x:c>
      <x:c r="K125" s="40" t="n">
        <x:v>40</x:v>
      </x:c>
      <x:c r="L125" s="40" t="n">
        <x:v>51.87</x:v>
      </x:c>
    </x:row>
    <x:row r="126">
      <x:c r="A126" s="38" t="n">
        <x:v>46186</x:v>
      </x:c>
      <x:c r="B126" t="str">
        <x:v>2026-06</x:v>
      </x:c>
      <x:c r="C126" t="str">
        <x:v>Finland</x:v>
      </x:c>
      <x:c r="D126" t="str">
        <x:v>Elena</x:v>
      </x:c>
      <x:c r="E126" t="str">
        <x:v>Services</x:v>
      </x:c>
      <x:c r="F126" t="str">
        <x:v>Consulting 1h</x:v>
      </x:c>
      <x:c r="G126" t="n">
        <x:v>2</x:v>
      </x:c>
      <x:c r="H126" s="40" t="n">
        <x:v>158.83</x:v>
      </x:c>
      <x:c r="I126" s="66" t="n">
        <x:v>0.1</x:v>
      </x:c>
      <x:c r="J126" s="40" t="n">
        <x:v>285.89</x:v>
      </x:c>
      <x:c r="K126" s="40" t="n">
        <x:v>110</x:v>
      </x:c>
      <x:c r="L126" s="40" t="n">
        <x:v>175.89</x:v>
      </x:c>
    </x:row>
    <x:row r="127">
      <x:c r="A127" s="38" t="n">
        <x:v>46044</x:v>
      </x:c>
      <x:c r="B127" t="str">
        <x:v>2026-01</x:v>
      </x:c>
      <x:c r="C127" t="str">
        <x:v>Latvia</x:v>
      </x:c>
      <x:c r="D127" t="str">
        <x:v>Daria</x:v>
      </x:c>
      <x:c r="E127" t="str">
        <x:v>Subscription</x:v>
      </x:c>
      <x:c r="F127" t="str">
        <x:v>Starter Kit</x:v>
      </x:c>
      <x:c r="G127" t="n">
        <x:v>8</x:v>
      </x:c>
      <x:c r="H127" s="40" t="n">
        <x:v>53.81</x:v>
      </x:c>
      <x:c r="I127" s="66" t="n">
        <x:v>0.15</x:v>
      </x:c>
      <x:c r="J127" s="40" t="n">
        <x:v>365.91</x:v>
      </x:c>
      <x:c r="K127" s="40" t="n">
        <x:v>160</x:v>
      </x:c>
      <x:c r="L127" s="40" t="n">
        <x:v>205.91</x:v>
      </x:c>
    </x:row>
    <x:row r="128">
      <x:c r="A128" s="38" t="n">
        <x:v>46139</x:v>
      </x:c>
      <x:c r="B128" t="str">
        <x:v>2026-04</x:v>
      </x:c>
      <x:c r="C128" t="str">
        <x:v>Estonia</x:v>
      </x:c>
      <x:c r="D128" t="str">
        <x:v>Elena</x:v>
      </x:c>
      <x:c r="E128" t="str">
        <x:v>Services</x:v>
      </x:c>
      <x:c r="F128" t="str">
        <x:v>Consulting 1h</x:v>
      </x:c>
      <x:c r="G128" t="n">
        <x:v>4</x:v>
      </x:c>
      <x:c r="H128" s="40" t="n">
        <x:v>149.99</x:v>
      </x:c>
      <x:c r="I128" s="66" t="n">
        <x:v>0.15</x:v>
      </x:c>
      <x:c r="J128" s="40" t="n">
        <x:v>509.97</x:v>
      </x:c>
      <x:c r="K128" s="40" t="n">
        <x:v>220</x:v>
      </x:c>
      <x:c r="L128" s="40" t="n">
        <x:v>289.97</x:v>
      </x:c>
    </x:row>
    <x:row r="129">
      <x:c r="A129" s="38" t="n">
        <x:v>46035</x:v>
      </x:c>
      <x:c r="B129" t="str">
        <x:v>2026-01</x:v>
      </x:c>
      <x:c r="C129" t="str">
        <x:v>Latvia</x:v>
      </x:c>
      <x:c r="D129" t="str">
        <x:v>Anna</x:v>
      </x:c>
      <x:c r="E129" t="str">
        <x:v>Education</x:v>
      </x:c>
      <x:c r="F129" t="str">
        <x:v>Training Session</x:v>
      </x:c>
      <x:c r="G129" t="n">
        <x:v>5</x:v>
      </x:c>
      <x:c r="H129" s="40" t="n">
        <x:v>218.76</x:v>
      </x:c>
      <x:c r="I129" s="66" t="n">
        <x:v>0</x:v>
      </x:c>
      <x:c r="J129" s="40" t="n">
        <x:v>1093.8</x:v>
      </x:c>
      <x:c r="K129" s="40" t="n">
        <x:v>350</x:v>
      </x:c>
      <x:c r="L129" s="40" t="n">
        <x:v>743.8</x:v>
      </x:c>
    </x:row>
    <x:row r="130">
      <x:c r="A130" s="38" t="n">
        <x:v>46090</x:v>
      </x:c>
      <x:c r="B130" t="str">
        <x:v>2026-03</x:v>
      </x:c>
      <x:c r="C130" t="str">
        <x:v>Latvia</x:v>
      </x:c>
      <x:c r="D130" t="str">
        <x:v>Daria</x:v>
      </x:c>
      <x:c r="E130" t="str">
        <x:v>Digital</x:v>
      </x:c>
      <x:c r="F130" t="str">
        <x:v>CRM Template</x:v>
      </x:c>
      <x:c r="G130" t="n">
        <x:v>6</x:v>
      </x:c>
      <x:c r="H130" s="40" t="n">
        <x:v>91.91</x:v>
      </x:c>
      <x:c r="I130" s="66" t="n">
        <x:v>0</x:v>
      </x:c>
      <x:c r="J130" s="40" t="n">
        <x:v>551.46</x:v>
      </x:c>
      <x:c r="K130" s="40" t="n">
        <x:v>60</x:v>
      </x:c>
      <x:c r="L130" s="40" t="n">
        <x:v>491.46</x:v>
      </x:c>
    </x:row>
    <x:row r="131">
      <x:c r="A131" s="38" t="n">
        <x:v>46030</x:v>
      </x:c>
      <x:c r="B131" t="str">
        <x:v>2026-01</x:v>
      </x:c>
      <x:c r="C131" t="str">
        <x:v>Lithuania</x:v>
      </x:c>
      <x:c r="D131" t="str">
        <x:v>Olga</x:v>
      </x:c>
      <x:c r="E131" t="str">
        <x:v>Subscription</x:v>
      </x:c>
      <x:c r="F131" t="str">
        <x:v>Starter Kit</x:v>
      </x:c>
      <x:c r="G131" t="n">
        <x:v>4</x:v>
      </x:c>
      <x:c r="H131" s="40" t="n">
        <x:v>55.18</x:v>
      </x:c>
      <x:c r="I131" s="66" t="n">
        <x:v>0.1</x:v>
      </x:c>
      <x:c r="J131" s="40" t="n">
        <x:v>198.65</x:v>
      </x:c>
      <x:c r="K131" s="40" t="n">
        <x:v>80</x:v>
      </x:c>
      <x:c r="L131" s="40" t="n">
        <x:v>118.65</x:v>
      </x:c>
    </x:row>
    <x:row r="132">
      <x:c r="A132" s="38" t="n">
        <x:v>46087</x:v>
      </x:c>
      <x:c r="B132" t="str">
        <x:v>2026-03</x:v>
      </x:c>
      <x:c r="C132" t="str">
        <x:v>Lithuania</x:v>
      </x:c>
      <x:c r="D132" t="str">
        <x:v>Anna</x:v>
      </x:c>
      <x:c r="E132" t="str">
        <x:v>Education</x:v>
      </x:c>
      <x:c r="F132" t="str">
        <x:v>Training Session</x:v>
      </x:c>
      <x:c r="G132" t="n">
        <x:v>3</x:v>
      </x:c>
      <x:c r="H132" s="40" t="n">
        <x:v>230.37</x:v>
      </x:c>
      <x:c r="I132" s="66" t="n">
        <x:v>0</x:v>
      </x:c>
      <x:c r="J132" s="40" t="n">
        <x:v>691.11</x:v>
      </x:c>
      <x:c r="K132" s="40" t="n">
        <x:v>210</x:v>
      </x:c>
      <x:c r="L132" s="40" t="n">
        <x:v>481.11</x:v>
      </x:c>
    </x:row>
    <x:row r="133">
      <x:c r="A133" s="38" t="n">
        <x:v>46101</x:v>
      </x:c>
      <x:c r="B133" t="str">
        <x:v>2026-03</x:v>
      </x:c>
      <x:c r="C133" t="str">
        <x:v>Finland</x:v>
      </x:c>
      <x:c r="D133" t="str">
        <x:v>Maria</x:v>
      </x:c>
      <x:c r="E133" t="str">
        <x:v>Education</x:v>
      </x:c>
      <x:c r="F133" t="str">
        <x:v>Training Session</x:v>
      </x:c>
      <x:c r="G133" t="n">
        <x:v>2</x:v>
      </x:c>
      <x:c r="H133" s="40" t="n">
        <x:v>194.35</x:v>
      </x:c>
      <x:c r="I133" s="66" t="n">
        <x:v>0.15</x:v>
      </x:c>
      <x:c r="J133" s="40" t="n">
        <x:v>330.39</x:v>
      </x:c>
      <x:c r="K133" s="40" t="n">
        <x:v>140</x:v>
      </x:c>
      <x:c r="L133" s="40" t="n">
        <x:v>190.39</x:v>
      </x:c>
    </x:row>
    <x:row r="134">
      <x:c r="A134" s="38" t="n">
        <x:v>46170</x:v>
      </x:c>
      <x:c r="B134" t="str">
        <x:v>2026-05</x:v>
      </x:c>
      <x:c r="C134" t="str">
        <x:v>Lithuania</x:v>
      </x:c>
      <x:c r="D134" t="str">
        <x:v>Daria</x:v>
      </x:c>
      <x:c r="E134" t="str">
        <x:v>Education</x:v>
      </x:c>
      <x:c r="F134" t="str">
        <x:v>Training Session</x:v>
      </x:c>
      <x:c r="G134" t="n">
        <x:v>4</x:v>
      </x:c>
      <x:c r="H134" s="40" t="n">
        <x:v>219.05</x:v>
      </x:c>
      <x:c r="I134" s="66" t="n">
        <x:v>0.1</x:v>
      </x:c>
      <x:c r="J134" s="40" t="n">
        <x:v>788.58</x:v>
      </x:c>
      <x:c r="K134" s="40" t="n">
        <x:v>280</x:v>
      </x:c>
      <x:c r="L134" s="40" t="n">
        <x:v>508.58</x:v>
      </x:c>
    </x:row>
    <x:row r="135">
      <x:c r="A135" s="38" t="n">
        <x:v>46160</x:v>
      </x:c>
      <x:c r="B135" t="str">
        <x:v>2026-05</x:v>
      </x:c>
      <x:c r="C135" t="str">
        <x:v>Poland</x:v>
      </x:c>
      <x:c r="D135" t="str">
        <x:v>Elena</x:v>
      </x:c>
      <x:c r="E135" t="str">
        <x:v>Digital</x:v>
      </x:c>
      <x:c r="F135" t="str">
        <x:v>CRM Template</x:v>
      </x:c>
      <x:c r="G135" t="n">
        <x:v>1</x:v>
      </x:c>
      <x:c r="H135" s="40" t="n">
        <x:v>98.35</x:v>
      </x:c>
      <x:c r="I135" s="66" t="n">
        <x:v>0.15</x:v>
      </x:c>
      <x:c r="J135" s="40" t="n">
        <x:v>83.6</x:v>
      </x:c>
      <x:c r="K135" s="40" t="n">
        <x:v>10</x:v>
      </x:c>
      <x:c r="L135" s="40" t="n">
        <x:v>73.6</x:v>
      </x:c>
    </x:row>
    <x:row r="136">
      <x:c r="A136" s="38" t="n">
        <x:v>46147</x:v>
      </x:c>
      <x:c r="B136" t="str">
        <x:v>2026-05</x:v>
      </x:c>
      <x:c r="C136" t="str">
        <x:v>Finland</x:v>
      </x:c>
      <x:c r="D136" t="str">
        <x:v>Anna</x:v>
      </x:c>
      <x:c r="E136" t="str">
        <x:v>Subscription</x:v>
      </x:c>
      <x:c r="F136" t="str">
        <x:v>Starter Kit</x:v>
      </x:c>
      <x:c r="G136" t="n">
        <x:v>1</x:v>
      </x:c>
      <x:c r="H136" s="40" t="n">
        <x:v>46.38</x:v>
      </x:c>
      <x:c r="I136" s="66" t="n">
        <x:v>0</x:v>
      </x:c>
      <x:c r="J136" s="40" t="n">
        <x:v>46.38</x:v>
      </x:c>
      <x:c r="K136" s="40" t="n">
        <x:v>20</x:v>
      </x:c>
      <x:c r="L136" s="40" t="n">
        <x:v>26.38</x:v>
      </x:c>
    </x:row>
    <x:row r="137">
      <x:c r="A137" s="38" t="n">
        <x:v>46139</x:v>
      </x:c>
      <x:c r="B137" t="str">
        <x:v>2026-04</x:v>
      </x:c>
      <x:c r="C137" t="str">
        <x:v>Lithuania</x:v>
      </x:c>
      <x:c r="D137" t="str">
        <x:v>Sofia</x:v>
      </x:c>
      <x:c r="E137" t="str">
        <x:v>Education</x:v>
      </x:c>
      <x:c r="F137" t="str">
        <x:v>Training Session</x:v>
      </x:c>
      <x:c r="G137" t="n">
        <x:v>2</x:v>
      </x:c>
      <x:c r="H137" s="40" t="n">
        <x:v>228.36</x:v>
      </x:c>
      <x:c r="I137" s="66" t="n">
        <x:v>0</x:v>
      </x:c>
      <x:c r="J137" s="40" t="n">
        <x:v>456.72</x:v>
      </x:c>
      <x:c r="K137" s="40" t="n">
        <x:v>140</x:v>
      </x:c>
      <x:c r="L137" s="40" t="n">
        <x:v>316.72</x:v>
      </x:c>
    </x:row>
    <x:row r="138">
      <x:c r="A138" s="38" t="n">
        <x:v>46148</x:v>
      </x:c>
      <x:c r="B138" t="str">
        <x:v>2026-05</x:v>
      </x:c>
      <x:c r="C138" t="str">
        <x:v>Poland</x:v>
      </x:c>
      <x:c r="D138" t="str">
        <x:v>Maria</x:v>
      </x:c>
      <x:c r="E138" t="str">
        <x:v>Education</x:v>
      </x:c>
      <x:c r="F138" t="str">
        <x:v>Training Session</x:v>
      </x:c>
      <x:c r="G138" t="n">
        <x:v>4</x:v>
      </x:c>
      <x:c r="H138" s="40" t="n">
        <x:v>195.08</x:v>
      </x:c>
      <x:c r="I138" s="66" t="n">
        <x:v>0</x:v>
      </x:c>
      <x:c r="J138" s="40" t="n">
        <x:v>780.32</x:v>
      </x:c>
      <x:c r="K138" s="40" t="n">
        <x:v>280</x:v>
      </x:c>
      <x:c r="L138" s="40" t="n">
        <x:v>500.32</x:v>
      </x:c>
    </x:row>
    <x:row r="139">
      <x:c r="A139" s="38" t="n">
        <x:v>46053</x:v>
      </x:c>
      <x:c r="B139" t="str">
        <x:v>2026-01</x:v>
      </x:c>
      <x:c r="C139" t="str">
        <x:v>Lithuania</x:v>
      </x:c>
      <x:c r="D139" t="str">
        <x:v>Sofia</x:v>
      </x:c>
      <x:c r="E139" t="str">
        <x:v>Services</x:v>
      </x:c>
      <x:c r="F139" t="str">
        <x:v>Consulting 1h</x:v>
      </x:c>
      <x:c r="G139" t="n">
        <x:v>4</x:v>
      </x:c>
      <x:c r="H139" s="40" t="n">
        <x:v>165.36</x:v>
      </x:c>
      <x:c r="I139" s="66" t="n">
        <x:v>0</x:v>
      </x:c>
      <x:c r="J139" s="40" t="n">
        <x:v>661.44</x:v>
      </x:c>
      <x:c r="K139" s="40" t="n">
        <x:v>220</x:v>
      </x:c>
      <x:c r="L139" s="40" t="n">
        <x:v>441.44</x:v>
      </x:c>
    </x:row>
    <x:row r="140">
      <x:c r="A140" s="38" t="n">
        <x:v>46034</x:v>
      </x:c>
      <x:c r="B140" t="str">
        <x:v>2026-01</x:v>
      </x:c>
      <x:c r="C140" t="str">
        <x:v>Latvia</x:v>
      </x:c>
      <x:c r="D140" t="str">
        <x:v>Olga</x:v>
      </x:c>
      <x:c r="E140" t="str">
        <x:v>Services</x:v>
      </x:c>
      <x:c r="F140" t="str">
        <x:v>Consulting 1h</x:v>
      </x:c>
      <x:c r="G140" t="n">
        <x:v>5</x:v>
      </x:c>
      <x:c r="H140" s="40" t="n">
        <x:v>156.48</x:v>
      </x:c>
      <x:c r="I140" s="66" t="n">
        <x:v>0.1</x:v>
      </x:c>
      <x:c r="J140" s="40" t="n">
        <x:v>704.16</x:v>
      </x:c>
      <x:c r="K140" s="40" t="n">
        <x:v>275</x:v>
      </x:c>
      <x:c r="L140" s="40" t="n">
        <x:v>429.16</x:v>
      </x:c>
    </x:row>
    <x:row r="141">
      <x:c r="A141" s="38" t="n">
        <x:v>46186</x:v>
      </x:c>
      <x:c r="B141" t="str">
        <x:v>2026-06</x:v>
      </x:c>
      <x:c r="C141" t="str">
        <x:v>Poland</x:v>
      </x:c>
      <x:c r="D141" t="str">
        <x:v>Daria</x:v>
      </x:c>
      <x:c r="E141" t="str">
        <x:v>Education</x:v>
      </x:c>
      <x:c r="F141" t="str">
        <x:v>Training Session</x:v>
      </x:c>
      <x:c r="G141" t="n">
        <x:v>1</x:v>
      </x:c>
      <x:c r="H141" s="40" t="n">
        <x:v>199.84</x:v>
      </x:c>
      <x:c r="I141" s="66" t="n">
        <x:v>0.1</x:v>
      </x:c>
      <x:c r="J141" s="40" t="n">
        <x:v>179.86</x:v>
      </x:c>
      <x:c r="K141" s="40" t="n">
        <x:v>70</x:v>
      </x:c>
      <x:c r="L141" s="40" t="n">
        <x:v>109.86</x:v>
      </x:c>
    </x:row>
    <x:row r="142">
      <x:c r="A142" s="38" t="n">
        <x:v>46174</x:v>
      </x:c>
      <x:c r="B142" t="str">
        <x:v>2026-06</x:v>
      </x:c>
      <x:c r="C142" t="str">
        <x:v>Estonia</x:v>
      </x:c>
      <x:c r="D142" t="str">
        <x:v>Olga</x:v>
      </x:c>
      <x:c r="E142" t="str">
        <x:v>Digital</x:v>
      </x:c>
      <x:c r="F142" t="str">
        <x:v>CRM Template</x:v>
      </x:c>
      <x:c r="G142" t="n">
        <x:v>4</x:v>
      </x:c>
      <x:c r="H142" s="40" t="n">
        <x:v>91.73</x:v>
      </x:c>
      <x:c r="I142" s="66" t="n">
        <x:v>0.15</x:v>
      </x:c>
      <x:c r="J142" s="40" t="n">
        <x:v>311.88</x:v>
      </x:c>
      <x:c r="K142" s="40" t="n">
        <x:v>40</x:v>
      </x:c>
      <x:c r="L142" s="40" t="n">
        <x:v>271.88</x:v>
      </x:c>
    </x:row>
    <x:row r="143">
      <x:c r="A143" s="38" t="n">
        <x:v>46142</x:v>
      </x:c>
      <x:c r="B143" t="str">
        <x:v>2026-04</x:v>
      </x:c>
      <x:c r="C143" t="str">
        <x:v>Lithuania</x:v>
      </x:c>
      <x:c r="D143" t="str">
        <x:v>Olga</x:v>
      </x:c>
      <x:c r="E143" t="str">
        <x:v>Digital</x:v>
      </x:c>
      <x:c r="F143" t="str">
        <x:v>CRM Template</x:v>
      </x:c>
      <x:c r="G143" t="n">
        <x:v>6</x:v>
      </x:c>
      <x:c r="H143" s="40" t="n">
        <x:v>96.79</x:v>
      </x:c>
      <x:c r="I143" s="66" t="n">
        <x:v>0.1</x:v>
      </x:c>
      <x:c r="J143" s="40" t="n">
        <x:v>522.67</x:v>
      </x:c>
      <x:c r="K143" s="40" t="n">
        <x:v>60</x:v>
      </x:c>
      <x:c r="L143" s="40" t="n">
        <x:v>462.67</x:v>
      </x:c>
    </x:row>
    <x:row r="144">
      <x:c r="A144" s="38" t="n">
        <x:v>46075</x:v>
      </x:c>
      <x:c r="B144" t="str">
        <x:v>2026-02</x:v>
      </x:c>
      <x:c r="C144" t="str">
        <x:v>Finland</x:v>
      </x:c>
      <x:c r="D144" t="str">
        <x:v>Anna</x:v>
      </x:c>
      <x:c r="E144" t="str">
        <x:v>Subscription</x:v>
      </x:c>
      <x:c r="F144" t="str">
        <x:v>Starter Kit</x:v>
      </x:c>
      <x:c r="G144" t="n">
        <x:v>6</x:v>
      </x:c>
      <x:c r="H144" s="40" t="n">
        <x:v>46.87</x:v>
      </x:c>
      <x:c r="I144" s="66" t="n">
        <x:v>0.1</x:v>
      </x:c>
      <x:c r="J144" s="40" t="n">
        <x:v>253.1</x:v>
      </x:c>
      <x:c r="K144" s="40" t="n">
        <x:v>120</x:v>
      </x:c>
      <x:c r="L144" s="40" t="n">
        <x:v>133.1</x:v>
      </x:c>
    </x:row>
    <x:row r="145">
      <x:c r="A145" s="38" t="n">
        <x:v>46025</x:v>
      </x:c>
      <x:c r="B145" t="str">
        <x:v>2026-01</x:v>
      </x:c>
      <x:c r="C145" t="str">
        <x:v>Lithuania</x:v>
      </x:c>
      <x:c r="D145" t="str">
        <x:v>Sofia</x:v>
      </x:c>
      <x:c r="E145" t="str">
        <x:v>Services</x:v>
      </x:c>
      <x:c r="F145" t="str">
        <x:v>Consulting 1h</x:v>
      </x:c>
      <x:c r="G145" t="n">
        <x:v>7</x:v>
      </x:c>
      <x:c r="H145" s="40" t="n">
        <x:v>144.01</x:v>
      </x:c>
      <x:c r="I145" s="66" t="n">
        <x:v>0.15</x:v>
      </x:c>
      <x:c r="J145" s="40" t="n">
        <x:v>856.86</x:v>
      </x:c>
      <x:c r="K145" s="40" t="n">
        <x:v>385</x:v>
      </x:c>
      <x:c r="L145" s="40" t="n">
        <x:v>471.86</x:v>
      </x:c>
    </x:row>
    <x:row r="146">
      <x:c r="A146" s="38" t="n">
        <x:v>46051</x:v>
      </x:c>
      <x:c r="B146" t="str">
        <x:v>2026-01</x:v>
      </x:c>
      <x:c r="C146" t="str">
        <x:v>Finland</x:v>
      </x:c>
      <x:c r="D146" t="str">
        <x:v>Elena</x:v>
      </x:c>
      <x:c r="E146" t="str">
        <x:v>Subscription</x:v>
      </x:c>
      <x:c r="F146" t="str">
        <x:v>Pro Plan</x:v>
      </x:c>
      <x:c r="G146" t="n">
        <x:v>2</x:v>
      </x:c>
      <x:c r="H146" s="40" t="n">
        <x:v>118.13</x:v>
      </x:c>
      <x:c r="I146" s="66" t="n">
        <x:v>0</x:v>
      </x:c>
      <x:c r="J146" s="40" t="n">
        <x:v>236.26</x:v>
      </x:c>
      <x:c r="K146" s="40" t="n">
        <x:v>90</x:v>
      </x:c>
      <x:c r="L146" s="40" t="n">
        <x:v>146.26</x:v>
      </x:c>
    </x:row>
    <x:row r="147">
      <x:c r="A147" s="38" t="n">
        <x:v>46114</x:v>
      </x:c>
      <x:c r="B147" t="str">
        <x:v>2026-04</x:v>
      </x:c>
      <x:c r="C147" t="str">
        <x:v>Poland</x:v>
      </x:c>
      <x:c r="D147" t="str">
        <x:v>Daria</x:v>
      </x:c>
      <x:c r="E147" t="str">
        <x:v>Education</x:v>
      </x:c>
      <x:c r="F147" t="str">
        <x:v>Training Session</x:v>
      </x:c>
      <x:c r="G147" t="n">
        <x:v>7</x:v>
      </x:c>
      <x:c r="H147" s="40" t="n">
        <x:v>225.74</x:v>
      </x:c>
      <x:c r="I147" s="66" t="n">
        <x:v>0.15</x:v>
      </x:c>
      <x:c r="J147" s="40" t="n">
        <x:v>1343.15</x:v>
      </x:c>
      <x:c r="K147" s="40" t="n">
        <x:v>490</x:v>
      </x:c>
      <x:c r="L147" s="40" t="n">
        <x:v>853.15</x:v>
      </x:c>
    </x:row>
    <x:row r="148">
      <x:c r="A148" s="38" t="n">
        <x:v>46061</x:v>
      </x:c>
      <x:c r="B148" t="str">
        <x:v>2026-02</x:v>
      </x:c>
      <x:c r="C148" t="str">
        <x:v>Lithuania</x:v>
      </x:c>
      <x:c r="D148" t="str">
        <x:v>Sofia</x:v>
      </x:c>
      <x:c r="E148" t="str">
        <x:v>Subscription</x:v>
      </x:c>
      <x:c r="F148" t="str">
        <x:v>Pro Plan</x:v>
      </x:c>
      <x:c r="G148" t="n">
        <x:v>8</x:v>
      </x:c>
      <x:c r="H148" s="40" t="n">
        <x:v>118.55</x:v>
      </x:c>
      <x:c r="I148" s="66" t="n">
        <x:v>0.05</x:v>
      </x:c>
      <x:c r="J148" s="40" t="n">
        <x:v>900.98</x:v>
      </x:c>
      <x:c r="K148" s="40" t="n">
        <x:v>360</x:v>
      </x:c>
      <x:c r="L148" s="40" t="n">
        <x:v>540.98</x:v>
      </x:c>
    </x:row>
    <x:row r="149">
      <x:c r="A149" s="38" t="n">
        <x:v>46116</x:v>
      </x:c>
      <x:c r="B149" t="str">
        <x:v>2026-04</x:v>
      </x:c>
      <x:c r="C149" t="str">
        <x:v>Latvia</x:v>
      </x:c>
      <x:c r="D149" t="str">
        <x:v>Olga</x:v>
      </x:c>
      <x:c r="E149" t="str">
        <x:v>Subscription</x:v>
      </x:c>
      <x:c r="F149" t="str">
        <x:v>Pro Plan</x:v>
      </x:c>
      <x:c r="G149" t="n">
        <x:v>6</x:v>
      </x:c>
      <x:c r="H149" s="40" t="n">
        <x:v>122.66</x:v>
      </x:c>
      <x:c r="I149" s="66" t="n">
        <x:v>0.15</x:v>
      </x:c>
      <x:c r="J149" s="40" t="n">
        <x:v>625.57</x:v>
      </x:c>
      <x:c r="K149" s="40" t="n">
        <x:v>270</x:v>
      </x:c>
      <x:c r="L149" s="40" t="n">
        <x:v>355.57</x:v>
      </x:c>
    </x:row>
    <x:row r="150">
      <x:c r="A150" s="38" t="n">
        <x:v>46031</x:v>
      </x:c>
      <x:c r="B150" t="str">
        <x:v>2026-01</x:v>
      </x:c>
      <x:c r="C150" t="str">
        <x:v>Estonia</x:v>
      </x:c>
      <x:c r="D150" t="str">
        <x:v>Daria</x:v>
      </x:c>
      <x:c r="E150" t="str">
        <x:v>Subscription</x:v>
      </x:c>
      <x:c r="F150" t="str">
        <x:v>Pro Plan</x:v>
      </x:c>
      <x:c r="G150" t="n">
        <x:v>6</x:v>
      </x:c>
      <x:c r="H150" s="40" t="n">
        <x:v>138.16</x:v>
      </x:c>
      <x:c r="I150" s="66" t="n">
        <x:v>0.1</x:v>
      </x:c>
      <x:c r="J150" s="40" t="n">
        <x:v>746.06</x:v>
      </x:c>
      <x:c r="K150" s="40" t="n">
        <x:v>270</x:v>
      </x:c>
      <x:c r="L150" s="40" t="n">
        <x:v>476.06</x:v>
      </x:c>
    </x:row>
    <x:row r="151">
      <x:c r="A151" s="38" t="n">
        <x:v>46056</x:v>
      </x:c>
      <x:c r="B151" t="str">
        <x:v>2026-02</x:v>
      </x:c>
      <x:c r="C151" t="str">
        <x:v>Poland</x:v>
      </x:c>
      <x:c r="D151" t="str">
        <x:v>Olga</x:v>
      </x:c>
      <x:c r="E151" t="str">
        <x:v>Subscription</x:v>
      </x:c>
      <x:c r="F151" t="str">
        <x:v>Starter Kit</x:v>
      </x:c>
      <x:c r="G151" t="n">
        <x:v>5</x:v>
      </x:c>
      <x:c r="H151" s="40" t="n">
        <x:v>55.4</x:v>
      </x:c>
      <x:c r="I151" s="66" t="n">
        <x:v>0.05</x:v>
      </x:c>
      <x:c r="J151" s="40" t="n">
        <x:v>263.15</x:v>
      </x:c>
      <x:c r="K151" s="40" t="n">
        <x:v>100</x:v>
      </x:c>
      <x:c r="L151" s="40" t="n">
        <x:v>163.15</x:v>
      </x:c>
    </x:row>
    <x:row r="152">
      <x:c r="A152" s="38" t="n">
        <x:v>46140</x:v>
      </x:c>
      <x:c r="B152" t="str">
        <x:v>2026-04</x:v>
      </x:c>
      <x:c r="C152" t="str">
        <x:v>Lithuania</x:v>
      </x:c>
      <x:c r="D152" t="str">
        <x:v>Olga</x:v>
      </x:c>
      <x:c r="E152" t="str">
        <x:v>Digital</x:v>
      </x:c>
      <x:c r="F152" t="str">
        <x:v>Dashboard Template</x:v>
      </x:c>
      <x:c r="G152" t="n">
        <x:v>3</x:v>
      </x:c>
      <x:c r="H152" s="40" t="n">
        <x:v>62.57</x:v>
      </x:c>
      <x:c r="I152" s="66" t="n">
        <x:v>0.1</x:v>
      </x:c>
      <x:c r="J152" s="40" t="n">
        <x:v>168.94</x:v>
      </x:c>
      <x:c r="K152" s="40" t="n">
        <x:v>24</x:v>
      </x:c>
      <x:c r="L152" s="40" t="n">
        <x:v>144.94</x:v>
      </x:c>
    </x:row>
    <x:row r="153">
      <x:c r="A153" s="38" t="n">
        <x:v>46161</x:v>
      </x:c>
      <x:c r="B153" t="str">
        <x:v>2026-05</x:v>
      </x:c>
      <x:c r="C153" t="str">
        <x:v>Latvia</x:v>
      </x:c>
      <x:c r="D153" t="str">
        <x:v>Sofia</x:v>
      </x:c>
      <x:c r="E153" t="str">
        <x:v>Digital</x:v>
      </x:c>
      <x:c r="F153" t="str">
        <x:v>CRM Template</x:v>
      </x:c>
      <x:c r="G153" t="n">
        <x:v>6</x:v>
      </x:c>
      <x:c r="H153" s="40" t="n">
        <x:v>88.27</x:v>
      </x:c>
      <x:c r="I153" s="66" t="n">
        <x:v>0.15</x:v>
      </x:c>
      <x:c r="J153" s="40" t="n">
        <x:v>450.18</x:v>
      </x:c>
      <x:c r="K153" s="40" t="n">
        <x:v>60</x:v>
      </x:c>
      <x:c r="L153" s="40" t="n">
        <x:v>390.18</x:v>
      </x:c>
    </x:row>
    <x:row r="154">
      <x:c r="A154" s="38" t="n">
        <x:v>46199</x:v>
      </x:c>
      <x:c r="B154" t="str">
        <x:v>2026-06</x:v>
      </x:c>
      <x:c r="C154" t="str">
        <x:v>Finland</x:v>
      </x:c>
      <x:c r="D154" t="str">
        <x:v>Anna</x:v>
      </x:c>
      <x:c r="E154" t="str">
        <x:v>Subscription</x:v>
      </x:c>
      <x:c r="F154" t="str">
        <x:v>Pro Plan</x:v>
      </x:c>
      <x:c r="G154" t="n">
        <x:v>6</x:v>
      </x:c>
      <x:c r="H154" s="40" t="n">
        <x:v>122.61</x:v>
      </x:c>
      <x:c r="I154" s="66" t="n">
        <x:v>0.1</x:v>
      </x:c>
      <x:c r="J154" s="40" t="n">
        <x:v>662.09</x:v>
      </x:c>
      <x:c r="K154" s="40" t="n">
        <x:v>270</x:v>
      </x:c>
      <x:c r="L154" s="40" t="n">
        <x:v>392.09</x:v>
      </x:c>
    </x:row>
    <x:row r="155">
      <x:c r="A155" s="38" t="n">
        <x:v>46187</x:v>
      </x:c>
      <x:c r="B155" t="str">
        <x:v>2026-06</x:v>
      </x:c>
      <x:c r="C155" t="str">
        <x:v>Lithuania</x:v>
      </x:c>
      <x:c r="D155" t="str">
        <x:v>Sofia</x:v>
      </x:c>
      <x:c r="E155" t="str">
        <x:v>Digital</x:v>
      </x:c>
      <x:c r="F155" t="str">
        <x:v>Dashboard Template</x:v>
      </x:c>
      <x:c r="G155" t="n">
        <x:v>7</x:v>
      </x:c>
      <x:c r="H155" s="40" t="n">
        <x:v>78.92</x:v>
      </x:c>
      <x:c r="I155" s="66" t="n">
        <x:v>0</x:v>
      </x:c>
      <x:c r="J155" s="40" t="n">
        <x:v>552.44</x:v>
      </x:c>
      <x:c r="K155" s="40" t="n">
        <x:v>56</x:v>
      </x:c>
      <x:c r="L155" s="40" t="n">
        <x:v>496.44</x:v>
      </x:c>
    </x:row>
    <x:row r="156">
      <x:c r="A156" s="38" t="n">
        <x:v>46032</x:v>
      </x:c>
      <x:c r="B156" t="str">
        <x:v>2026-01</x:v>
      </x:c>
      <x:c r="C156" t="str">
        <x:v>Poland</x:v>
      </x:c>
      <x:c r="D156" t="str">
        <x:v>Anna</x:v>
      </x:c>
      <x:c r="E156" t="str">
        <x:v>Services</x:v>
      </x:c>
      <x:c r="F156" t="str">
        <x:v>Consulting 1h</x:v>
      </x:c>
      <x:c r="G156" t="n">
        <x:v>3</x:v>
      </x:c>
      <x:c r="H156" s="40" t="n">
        <x:v>155.28</x:v>
      </x:c>
      <x:c r="I156" s="66" t="n">
        <x:v>0.15</x:v>
      </x:c>
      <x:c r="J156" s="40" t="n">
        <x:v>395.96</x:v>
      </x:c>
      <x:c r="K156" s="40" t="n">
        <x:v>165</x:v>
      </x:c>
      <x:c r="L156" s="40" t="n">
        <x:v>230.96</x:v>
      </x:c>
    </x:row>
    <x:row r="157">
      <x:c r="A157" s="38" t="n">
        <x:v>46062</x:v>
      </x:c>
      <x:c r="B157" t="str">
        <x:v>2026-02</x:v>
      </x:c>
      <x:c r="C157" t="str">
        <x:v>Finland</x:v>
      </x:c>
      <x:c r="D157" t="str">
        <x:v>Olga</x:v>
      </x:c>
      <x:c r="E157" t="str">
        <x:v>Digital</x:v>
      </x:c>
      <x:c r="F157" t="str">
        <x:v>Dashboard Template</x:v>
      </x:c>
      <x:c r="G157" t="n">
        <x:v>1</x:v>
      </x:c>
      <x:c r="H157" s="40" t="n">
        <x:v>77.4</x:v>
      </x:c>
      <x:c r="I157" s="66" t="n">
        <x:v>0</x:v>
      </x:c>
      <x:c r="J157" s="40" t="n">
        <x:v>77.4</x:v>
      </x:c>
      <x:c r="K157" s="40" t="n">
        <x:v>8</x:v>
      </x:c>
      <x:c r="L157" s="40" t="n">
        <x:v>69.4</x:v>
      </x:c>
    </x:row>
    <x:row r="158">
      <x:c r="A158" s="38" t="n">
        <x:v>46053</x:v>
      </x:c>
      <x:c r="B158" t="str">
        <x:v>2026-01</x:v>
      </x:c>
      <x:c r="C158" t="str">
        <x:v>Poland</x:v>
      </x:c>
      <x:c r="D158" t="str">
        <x:v>Maria</x:v>
      </x:c>
      <x:c r="E158" t="str">
        <x:v>Subscription</x:v>
      </x:c>
      <x:c r="F158" t="str">
        <x:v>Starter Kit</x:v>
      </x:c>
      <x:c r="G158" t="n">
        <x:v>1</x:v>
      </x:c>
      <x:c r="H158" s="40" t="n">
        <x:v>53.47</x:v>
      </x:c>
      <x:c r="I158" s="66" t="n">
        <x:v>0.15</x:v>
      </x:c>
      <x:c r="J158" s="40" t="n">
        <x:v>45.45</x:v>
      </x:c>
      <x:c r="K158" s="40" t="n">
        <x:v>20</x:v>
      </x:c>
      <x:c r="L158" s="40" t="n">
        <x:v>25.45</x:v>
      </x:c>
    </x:row>
    <x:row r="159">
      <x:c r="A159" s="38" t="n">
        <x:v>46156</x:v>
      </x:c>
      <x:c r="B159" t="str">
        <x:v>2026-05</x:v>
      </x:c>
      <x:c r="C159" t="str">
        <x:v>Lithuania</x:v>
      </x:c>
      <x:c r="D159" t="str">
        <x:v>Olga</x:v>
      </x:c>
      <x:c r="E159" t="str">
        <x:v>Digital</x:v>
      </x:c>
      <x:c r="F159" t="str">
        <x:v>CRM Template</x:v>
      </x:c>
      <x:c r="G159" t="n">
        <x:v>3</x:v>
      </x:c>
      <x:c r="H159" s="40" t="n">
        <x:v>92.16</x:v>
      </x:c>
      <x:c r="I159" s="66" t="n">
        <x:v>0.15</x:v>
      </x:c>
      <x:c r="J159" s="40" t="n">
        <x:v>235.01</x:v>
      </x:c>
      <x:c r="K159" s="40" t="n">
        <x:v>30</x:v>
      </x:c>
      <x:c r="L159" s="40" t="n">
        <x:v>205.01</x:v>
      </x:c>
    </x:row>
    <x:row r="160">
      <x:c r="A160" s="38" t="n">
        <x:v>46086</x:v>
      </x:c>
      <x:c r="B160" t="str">
        <x:v>2026-03</x:v>
      </x:c>
      <x:c r="C160" t="str">
        <x:v>Latvia</x:v>
      </x:c>
      <x:c r="D160" t="str">
        <x:v>Anna</x:v>
      </x:c>
      <x:c r="E160" t="str">
        <x:v>Services</x:v>
      </x:c>
      <x:c r="F160" t="str">
        <x:v>Consulting 1h</x:v>
      </x:c>
      <x:c r="G160" t="n">
        <x:v>7</x:v>
      </x:c>
      <x:c r="H160" s="40" t="n">
        <x:v>137.17</x:v>
      </x:c>
      <x:c r="I160" s="66" t="n">
        <x:v>0.1</x:v>
      </x:c>
      <x:c r="J160" s="40" t="n">
        <x:v>864.17</x:v>
      </x:c>
      <x:c r="K160" s="40" t="n">
        <x:v>385</x:v>
      </x:c>
      <x:c r="L160" s="40" t="n">
        <x:v>479.17</x:v>
      </x:c>
    </x:row>
    <x:row r="161">
      <x:c r="A161" s="38" t="n">
        <x:v>46115</x:v>
      </x:c>
      <x:c r="B161" t="str">
        <x:v>2026-04</x:v>
      </x:c>
      <x:c r="C161" t="str">
        <x:v>Poland</x:v>
      </x:c>
      <x:c r="D161" t="str">
        <x:v>Maria</x:v>
      </x:c>
      <x:c r="E161" t="str">
        <x:v>Education</x:v>
      </x:c>
      <x:c r="F161" t="str">
        <x:v>Training Session</x:v>
      </x:c>
      <x:c r="G161" t="n">
        <x:v>6</x:v>
      </x:c>
      <x:c r="H161" s="40" t="n">
        <x:v>198.52</x:v>
      </x:c>
      <x:c r="I161" s="66" t="n">
        <x:v>0.15</x:v>
      </x:c>
      <x:c r="J161" s="40" t="n">
        <x:v>1012.45</x:v>
      </x:c>
      <x:c r="K161" s="40" t="n">
        <x:v>420</x:v>
      </x:c>
      <x:c r="L161" s="40" t="n">
        <x:v>592.45</x:v>
      </x:c>
    </x:row>
    <x:row r="162">
      <x:c r="A162" s="38" t="n">
        <x:v>46196</x:v>
      </x:c>
      <x:c r="B162" t="str">
        <x:v>2026-06</x:v>
      </x:c>
      <x:c r="C162" t="str">
        <x:v>Poland</x:v>
      </x:c>
      <x:c r="D162" t="str">
        <x:v>Sofia</x:v>
      </x:c>
      <x:c r="E162" t="str">
        <x:v>Subscription</x:v>
      </x:c>
      <x:c r="F162" t="str">
        <x:v>Starter Kit</x:v>
      </x:c>
      <x:c r="G162" t="n">
        <x:v>3</x:v>
      </x:c>
      <x:c r="H162" s="40" t="n">
        <x:v>56.2</x:v>
      </x:c>
      <x:c r="I162" s="66" t="n">
        <x:v>0.05</x:v>
      </x:c>
      <x:c r="J162" s="40" t="n">
        <x:v>160.17</x:v>
      </x:c>
      <x:c r="K162" s="40" t="n">
        <x:v>60</x:v>
      </x:c>
      <x:c r="L162" s="40" t="n">
        <x:v>100.17</x:v>
      </x:c>
    </x:row>
    <x:row r="163">
      <x:c r="A163" s="38" t="n">
        <x:v>46080</x:v>
      </x:c>
      <x:c r="B163" t="str">
        <x:v>2026-02</x:v>
      </x:c>
      <x:c r="C163" t="str">
        <x:v>Lithuania</x:v>
      </x:c>
      <x:c r="D163" t="str">
        <x:v>Sofia</x:v>
      </x:c>
      <x:c r="E163" t="str">
        <x:v>Education</x:v>
      </x:c>
      <x:c r="F163" t="str">
        <x:v>Training Session</x:v>
      </x:c>
      <x:c r="G163" t="n">
        <x:v>7</x:v>
      </x:c>
      <x:c r="H163" s="40" t="n">
        <x:v>195.44</x:v>
      </x:c>
      <x:c r="I163" s="66" t="n">
        <x:v>0</x:v>
      </x:c>
      <x:c r="J163" s="40" t="n">
        <x:v>1368.08</x:v>
      </x:c>
      <x:c r="K163" s="40" t="n">
        <x:v>490</x:v>
      </x:c>
      <x:c r="L163" s="40" t="n">
        <x:v>878.08</x:v>
      </x:c>
    </x:row>
    <x:row r="164">
      <x:c r="A164" s="38" t="n">
        <x:v>46187</x:v>
      </x:c>
      <x:c r="B164" t="str">
        <x:v>2026-06</x:v>
      </x:c>
      <x:c r="C164" t="str">
        <x:v>Finland</x:v>
      </x:c>
      <x:c r="D164" t="str">
        <x:v>Olga</x:v>
      </x:c>
      <x:c r="E164" t="str">
        <x:v>Services</x:v>
      </x:c>
      <x:c r="F164" t="str">
        <x:v>Setup Package</x:v>
      </x:c>
      <x:c r="G164" t="n">
        <x:v>8</x:v>
      </x:c>
      <x:c r="H164" s="40" t="n">
        <x:v>360.25</x:v>
      </x:c>
      <x:c r="I164" s="66" t="n">
        <x:v>0.15</x:v>
      </x:c>
      <x:c r="J164" s="40" t="n">
        <x:v>2449.7</x:v>
      </x:c>
      <x:c r="K164" s="40" t="n">
        <x:v>1280</x:v>
      </x:c>
      <x:c r="L164" s="40" t="n">
        <x:v>1169.7</x:v>
      </x:c>
    </x:row>
    <x:row r="165">
      <x:c r="A165" s="38" t="n">
        <x:v>46082</x:v>
      </x:c>
      <x:c r="B165" t="str">
        <x:v>2026-03</x:v>
      </x:c>
      <x:c r="C165" t="str">
        <x:v>Finland</x:v>
      </x:c>
      <x:c r="D165" t="str">
        <x:v>Olga</x:v>
      </x:c>
      <x:c r="E165" t="str">
        <x:v>Digital</x:v>
      </x:c>
      <x:c r="F165" t="str">
        <x:v>Dashboard Template</x:v>
      </x:c>
      <x:c r="G165" t="n">
        <x:v>6</x:v>
      </x:c>
      <x:c r="H165" s="40" t="n">
        <x:v>68.19</x:v>
      </x:c>
      <x:c r="I165" s="66" t="n">
        <x:v>0.1</x:v>
      </x:c>
      <x:c r="J165" s="40" t="n">
        <x:v>368.23</x:v>
      </x:c>
      <x:c r="K165" s="40" t="n">
        <x:v>48</x:v>
      </x:c>
      <x:c r="L165" s="40" t="n">
        <x:v>320.23</x:v>
      </x:c>
    </x:row>
    <x:row r="166">
      <x:c r="A166" s="38" t="n">
        <x:v>46043</x:v>
      </x:c>
      <x:c r="B166" t="str">
        <x:v>2026-01</x:v>
      </x:c>
      <x:c r="C166" t="str">
        <x:v>Estonia</x:v>
      </x:c>
      <x:c r="D166" t="str">
        <x:v>Daria</x:v>
      </x:c>
      <x:c r="E166" t="str">
        <x:v>Services</x:v>
      </x:c>
      <x:c r="F166" t="str">
        <x:v>Setup Package</x:v>
      </x:c>
      <x:c r="G166" t="n">
        <x:v>4</x:v>
      </x:c>
      <x:c r="H166" s="40" t="n">
        <x:v>364.37</x:v>
      </x:c>
      <x:c r="I166" s="66" t="n">
        <x:v>0</x:v>
      </x:c>
      <x:c r="J166" s="40" t="n">
        <x:v>1457.48</x:v>
      </x:c>
      <x:c r="K166" s="40" t="n">
        <x:v>640</x:v>
      </x:c>
      <x:c r="L166" s="40" t="n">
        <x:v>817.48</x:v>
      </x:c>
    </x:row>
    <x:row r="167">
      <x:c r="A167" s="38" t="n">
        <x:v>46126</x:v>
      </x:c>
      <x:c r="B167" t="str">
        <x:v>2026-04</x:v>
      </x:c>
      <x:c r="C167" t="str">
        <x:v>Poland</x:v>
      </x:c>
      <x:c r="D167" t="str">
        <x:v>Elena</x:v>
      </x:c>
      <x:c r="E167" t="str">
        <x:v>Subscription</x:v>
      </x:c>
      <x:c r="F167" t="str">
        <x:v>Starter Kit</x:v>
      </x:c>
      <x:c r="G167" t="n">
        <x:v>2</x:v>
      </x:c>
      <x:c r="H167" s="40" t="n">
        <x:v>49.22</x:v>
      </x:c>
      <x:c r="I167" s="66" t="n">
        <x:v>0.1</x:v>
      </x:c>
      <x:c r="J167" s="40" t="n">
        <x:v>88.6</x:v>
      </x:c>
      <x:c r="K167" s="40" t="n">
        <x:v>40</x:v>
      </x:c>
      <x:c r="L167" s="40" t="n">
        <x:v>48.6</x:v>
      </x:c>
    </x:row>
    <x:row r="168">
      <x:c r="A168" s="38" t="n">
        <x:v>46188</x:v>
      </x:c>
      <x:c r="B168" t="str">
        <x:v>2026-06</x:v>
      </x:c>
      <x:c r="C168" t="str">
        <x:v>Latvia</x:v>
      </x:c>
      <x:c r="D168" t="str">
        <x:v>Daria</x:v>
      </x:c>
      <x:c r="E168" t="str">
        <x:v>Services</x:v>
      </x:c>
      <x:c r="F168" t="str">
        <x:v>Consulting 1h</x:v>
      </x:c>
      <x:c r="G168" t="n">
        <x:v>2</x:v>
      </x:c>
      <x:c r="H168" s="40" t="n">
        <x:v>143.88</x:v>
      </x:c>
      <x:c r="I168" s="66" t="n">
        <x:v>0.1</x:v>
      </x:c>
      <x:c r="J168" s="40" t="n">
        <x:v>258.98</x:v>
      </x:c>
      <x:c r="K168" s="40" t="n">
        <x:v>110</x:v>
      </x:c>
      <x:c r="L168" s="40" t="n">
        <x:v>148.98</x:v>
      </x:c>
    </x:row>
    <x:row r="169">
      <x:c r="A169" s="38" t="n">
        <x:v>46183</x:v>
      </x:c>
      <x:c r="B169" t="str">
        <x:v>2026-06</x:v>
      </x:c>
      <x:c r="C169" t="str">
        <x:v>Finland</x:v>
      </x:c>
      <x:c r="D169" t="str">
        <x:v>Anna</x:v>
      </x:c>
      <x:c r="E169" t="str">
        <x:v>Digital</x:v>
      </x:c>
      <x:c r="F169" t="str">
        <x:v>CRM Template</x:v>
      </x:c>
      <x:c r="G169" t="n">
        <x:v>5</x:v>
      </x:c>
      <x:c r="H169" s="40" t="n">
        <x:v>99.9</x:v>
      </x:c>
      <x:c r="I169" s="66" t="n">
        <x:v>0.1</x:v>
      </x:c>
      <x:c r="J169" s="40" t="n">
        <x:v>449.55</x:v>
      </x:c>
      <x:c r="K169" s="40" t="n">
        <x:v>50</x:v>
      </x:c>
      <x:c r="L169" s="40" t="n">
        <x:v>399.55</x:v>
      </x:c>
    </x:row>
    <x:row r="170">
      <x:c r="A170" s="38" t="n">
        <x:v>46150</x:v>
      </x:c>
      <x:c r="B170" t="str">
        <x:v>2026-05</x:v>
      </x:c>
      <x:c r="C170" t="str">
        <x:v>Lithuania</x:v>
      </x:c>
      <x:c r="D170" t="str">
        <x:v>Daria</x:v>
      </x:c>
      <x:c r="E170" t="str">
        <x:v>Services</x:v>
      </x:c>
      <x:c r="F170" t="str">
        <x:v>Setup Package</x:v>
      </x:c>
      <x:c r="G170" t="n">
        <x:v>2</x:v>
      </x:c>
      <x:c r="H170" s="40" t="n">
        <x:v>414.95</x:v>
      </x:c>
      <x:c r="I170" s="66" t="n">
        <x:v>0</x:v>
      </x:c>
      <x:c r="J170" s="40" t="n">
        <x:v>829.9</x:v>
      </x:c>
      <x:c r="K170" s="40" t="n">
        <x:v>320</x:v>
      </x:c>
      <x:c r="L170" s="40" t="n">
        <x:v>509.9</x:v>
      </x:c>
    </x:row>
    <x:row r="171">
      <x:c r="A171" s="38" t="n">
        <x:v>46186</x:v>
      </x:c>
      <x:c r="B171" t="str">
        <x:v>2026-06</x:v>
      </x:c>
      <x:c r="C171" t="str">
        <x:v>Latvia</x:v>
      </x:c>
      <x:c r="D171" t="str">
        <x:v>Daria</x:v>
      </x:c>
      <x:c r="E171" t="str">
        <x:v>Services</x:v>
      </x:c>
      <x:c r="F171" t="str">
        <x:v>Consulting 1h</x:v>
      </x:c>
      <x:c r="G171" t="n">
        <x:v>5</x:v>
      </x:c>
      <x:c r="H171" s="40" t="n">
        <x:v>138.25</x:v>
      </x:c>
      <x:c r="I171" s="66" t="n">
        <x:v>0.1</x:v>
      </x:c>
      <x:c r="J171" s="40" t="n">
        <x:v>622.12</x:v>
      </x:c>
      <x:c r="K171" s="40" t="n">
        <x:v>275</x:v>
      </x:c>
      <x:c r="L171" s="40" t="n">
        <x:v>347.12</x:v>
      </x:c>
    </x:row>
    <x:row r="172">
      <x:c r="A172" s="38" t="n">
        <x:v>46183</x:v>
      </x:c>
      <x:c r="B172" t="str">
        <x:v>2026-06</x:v>
      </x:c>
      <x:c r="C172" t="str">
        <x:v>Lithuania</x:v>
      </x:c>
      <x:c r="D172" t="str">
        <x:v>Olga</x:v>
      </x:c>
      <x:c r="E172" t="str">
        <x:v>Services</x:v>
      </x:c>
      <x:c r="F172" t="str">
        <x:v>Setup Package</x:v>
      </x:c>
      <x:c r="G172" t="n">
        <x:v>8</x:v>
      </x:c>
      <x:c r="H172" s="40" t="n">
        <x:v>400.47</x:v>
      </x:c>
      <x:c r="I172" s="66" t="n">
        <x:v>0.1</x:v>
      </x:c>
      <x:c r="J172" s="40" t="n">
        <x:v>2883.38</x:v>
      </x:c>
      <x:c r="K172" s="40" t="n">
        <x:v>1280</x:v>
      </x:c>
      <x:c r="L172" s="40" t="n">
        <x:v>1603.38</x:v>
      </x:c>
    </x:row>
    <x:row r="173">
      <x:c r="A173" s="38" t="n">
        <x:v>46149</x:v>
      </x:c>
      <x:c r="B173" t="str">
        <x:v>2026-05</x:v>
      </x:c>
      <x:c r="C173" t="str">
        <x:v>Estonia</x:v>
      </x:c>
      <x:c r="D173" t="str">
        <x:v>Maria</x:v>
      </x:c>
      <x:c r="E173" t="str">
        <x:v>Services</x:v>
      </x:c>
      <x:c r="F173" t="str">
        <x:v>Setup Package</x:v>
      </x:c>
      <x:c r="G173" t="n">
        <x:v>2</x:v>
      </x:c>
      <x:c r="H173" s="40" t="n">
        <x:v>351.12</x:v>
      </x:c>
      <x:c r="I173" s="66" t="n">
        <x:v>0.15</x:v>
      </x:c>
      <x:c r="J173" s="40" t="n">
        <x:v>596.9</x:v>
      </x:c>
      <x:c r="K173" s="40" t="n">
        <x:v>320</x:v>
      </x:c>
      <x:c r="L173" s="40" t="n">
        <x:v>276.9</x:v>
      </x:c>
    </x:row>
    <x:row r="174">
      <x:c r="A174" s="38" t="n">
        <x:v>46158</x:v>
      </x:c>
      <x:c r="B174" t="str">
        <x:v>2026-05</x:v>
      </x:c>
      <x:c r="C174" t="str">
        <x:v>Poland</x:v>
      </x:c>
      <x:c r="D174" t="str">
        <x:v>Daria</x:v>
      </x:c>
      <x:c r="E174" t="str">
        <x:v>Subscription</x:v>
      </x:c>
      <x:c r="F174" t="str">
        <x:v>Starter Kit</x:v>
      </x:c>
      <x:c r="G174" t="n">
        <x:v>2</x:v>
      </x:c>
      <x:c r="H174" s="40" t="n">
        <x:v>51.3</x:v>
      </x:c>
      <x:c r="I174" s="66" t="n">
        <x:v>0.1</x:v>
      </x:c>
      <x:c r="J174" s="40" t="n">
        <x:v>92.34</x:v>
      </x:c>
      <x:c r="K174" s="40" t="n">
        <x:v>40</x:v>
      </x:c>
      <x:c r="L174" s="40" t="n">
        <x:v>52.34</x:v>
      </x:c>
    </x:row>
    <x:row r="175">
      <x:c r="A175" s="38" t="n">
        <x:v>46089</x:v>
      </x:c>
      <x:c r="B175" t="str">
        <x:v>2026-03</x:v>
      </x:c>
      <x:c r="C175" t="str">
        <x:v>Latvia</x:v>
      </x:c>
      <x:c r="D175" t="str">
        <x:v>Elena</x:v>
      </x:c>
      <x:c r="E175" t="str">
        <x:v>Digital</x:v>
      </x:c>
      <x:c r="F175" t="str">
        <x:v>Dashboard Template</x:v>
      </x:c>
      <x:c r="G175" t="n">
        <x:v>1</x:v>
      </x:c>
      <x:c r="H175" s="40" t="n">
        <x:v>67.6</x:v>
      </x:c>
      <x:c r="I175" s="66" t="n">
        <x:v>0.1</x:v>
      </x:c>
      <x:c r="J175" s="40" t="n">
        <x:v>60.84</x:v>
      </x:c>
      <x:c r="K175" s="40" t="n">
        <x:v>8</x:v>
      </x:c>
      <x:c r="L175" s="40" t="n">
        <x:v>52.84</x:v>
      </x:c>
    </x:row>
    <x:row r="176">
      <x:c r="A176" s="38" t="n">
        <x:v>46027</x:v>
      </x:c>
      <x:c r="B176" t="str">
        <x:v>2026-01</x:v>
      </x:c>
      <x:c r="C176" t="str">
        <x:v>Poland</x:v>
      </x:c>
      <x:c r="D176" t="str">
        <x:v>Maria</x:v>
      </x:c>
      <x:c r="E176" t="str">
        <x:v>Services</x:v>
      </x:c>
      <x:c r="F176" t="str">
        <x:v>Setup Package</x:v>
      </x:c>
      <x:c r="G176" t="n">
        <x:v>5</x:v>
      </x:c>
      <x:c r="H176" s="40" t="n">
        <x:v>407.53</x:v>
      </x:c>
      <x:c r="I176" s="66" t="n">
        <x:v>0.15</x:v>
      </x:c>
      <x:c r="J176" s="40" t="n">
        <x:v>1732</x:v>
      </x:c>
      <x:c r="K176" s="40" t="n">
        <x:v>800</x:v>
      </x:c>
      <x:c r="L176" s="40" t="n">
        <x:v>932</x:v>
      </x:c>
    </x:row>
    <x:row r="177">
      <x:c r="A177" s="38" t="n">
        <x:v>46168</x:v>
      </x:c>
      <x:c r="B177" t="str">
        <x:v>2026-05</x:v>
      </x:c>
      <x:c r="C177" t="str">
        <x:v>Lithuania</x:v>
      </x:c>
      <x:c r="D177" t="str">
        <x:v>Olga</x:v>
      </x:c>
      <x:c r="E177" t="str">
        <x:v>Digital</x:v>
      </x:c>
      <x:c r="F177" t="str">
        <x:v>Dashboard Template</x:v>
      </x:c>
      <x:c r="G177" t="n">
        <x:v>1</x:v>
      </x:c>
      <x:c r="H177" s="40" t="n">
        <x:v>65.58</x:v>
      </x:c>
      <x:c r="I177" s="66" t="n">
        <x:v>0.1</x:v>
      </x:c>
      <x:c r="J177" s="40" t="n">
        <x:v>59.02</x:v>
      </x:c>
      <x:c r="K177" s="40" t="n">
        <x:v>8</x:v>
      </x:c>
      <x:c r="L177" s="40" t="n">
        <x:v>51.02</x:v>
      </x:c>
    </x:row>
    <x:row r="178">
      <x:c r="A178" s="38" t="n">
        <x:v>46120</x:v>
      </x:c>
      <x:c r="B178" t="str">
        <x:v>2026-04</x:v>
      </x:c>
      <x:c r="C178" t="str">
        <x:v>Estonia</x:v>
      </x:c>
      <x:c r="D178" t="str">
        <x:v>Maria</x:v>
      </x:c>
      <x:c r="E178" t="str">
        <x:v>Subscription</x:v>
      </x:c>
      <x:c r="F178" t="str">
        <x:v>Starter Kit</x:v>
      </x:c>
      <x:c r="G178" t="n">
        <x:v>2</x:v>
      </x:c>
      <x:c r="H178" s="40" t="n">
        <x:v>49.2</x:v>
      </x:c>
      <x:c r="I178" s="66" t="n">
        <x:v>0</x:v>
      </x:c>
      <x:c r="J178" s="40" t="n">
        <x:v>98.4</x:v>
      </x:c>
      <x:c r="K178" s="40" t="n">
        <x:v>40</x:v>
      </x:c>
      <x:c r="L178" s="40" t="n">
        <x:v>58.4</x:v>
      </x:c>
    </x:row>
    <x:row r="179">
      <x:c r="A179" s="38" t="n">
        <x:v>46159</x:v>
      </x:c>
      <x:c r="B179" t="str">
        <x:v>2026-05</x:v>
      </x:c>
      <x:c r="C179" t="str">
        <x:v>Latvia</x:v>
      </x:c>
      <x:c r="D179" t="str">
        <x:v>Anna</x:v>
      </x:c>
      <x:c r="E179" t="str">
        <x:v>Digital</x:v>
      </x:c>
      <x:c r="F179" t="str">
        <x:v>CRM Template</x:v>
      </x:c>
      <x:c r="G179" t="n">
        <x:v>6</x:v>
      </x:c>
      <x:c r="H179" s="40" t="n">
        <x:v>87.66</x:v>
      </x:c>
      <x:c r="I179" s="66" t="n">
        <x:v>0.15</x:v>
      </x:c>
      <x:c r="J179" s="40" t="n">
        <x:v>447.07</x:v>
      </x:c>
      <x:c r="K179" s="40" t="n">
        <x:v>60</x:v>
      </x:c>
      <x:c r="L179" s="40" t="n">
        <x:v>387.07</x:v>
      </x:c>
    </x:row>
    <x:row r="180">
      <x:c r="A180" s="38" t="n">
        <x:v>46074</x:v>
      </x:c>
      <x:c r="B180" t="str">
        <x:v>2026-02</x:v>
      </x:c>
      <x:c r="C180" t="str">
        <x:v>Estonia</x:v>
      </x:c>
      <x:c r="D180" t="str">
        <x:v>Anna</x:v>
      </x:c>
      <x:c r="E180" t="str">
        <x:v>Education</x:v>
      </x:c>
      <x:c r="F180" t="str">
        <x:v>Training Session</x:v>
      </x:c>
      <x:c r="G180" t="n">
        <x:v>4</x:v>
      </x:c>
      <x:c r="H180" s="40" t="n">
        <x:v>196.52</x:v>
      </x:c>
      <x:c r="I180" s="66" t="n">
        <x:v>0.15</x:v>
      </x:c>
      <x:c r="J180" s="40" t="n">
        <x:v>668.17</x:v>
      </x:c>
      <x:c r="K180" s="40" t="n">
        <x:v>280</x:v>
      </x:c>
      <x:c r="L180" s="40" t="n">
        <x:v>388.17</x:v>
      </x:c>
    </x:row>
    <x:row r="181">
      <x:c r="A181" s="38" t="n">
        <x:v>46183</x:v>
      </x:c>
      <x:c r="B181" t="str">
        <x:v>2026-06</x:v>
      </x:c>
      <x:c r="C181" t="str">
        <x:v>Estonia</x:v>
      </x:c>
      <x:c r="D181" t="str">
        <x:v>Sofia</x:v>
      </x:c>
      <x:c r="E181" t="str">
        <x:v>Digital</x:v>
      </x:c>
      <x:c r="F181" t="str">
        <x:v>CRM Template</x:v>
      </x:c>
      <x:c r="G181" t="n">
        <x:v>3</x:v>
      </x:c>
      <x:c r="H181" s="40" t="n">
        <x:v>93.89</x:v>
      </x:c>
      <x:c r="I181" s="66" t="n">
        <x:v>0.15</x:v>
      </x:c>
      <x:c r="J181" s="40" t="n">
        <x:v>239.42</x:v>
      </x:c>
      <x:c r="K181" s="40" t="n">
        <x:v>30</x:v>
      </x:c>
      <x:c r="L181" s="40" t="n">
        <x:v>209.42</x:v>
      </x:c>
    </x:row>
    <x:row r="182">
      <x:c r="A182" s="38" t="n">
        <x:v>46047</x:v>
      </x:c>
      <x:c r="B182" t="str">
        <x:v>2026-01</x:v>
      </x:c>
      <x:c r="C182" t="str">
        <x:v>Finland</x:v>
      </x:c>
      <x:c r="D182" t="str">
        <x:v>Olga</x:v>
      </x:c>
      <x:c r="E182" t="str">
        <x:v>Subscription</x:v>
      </x:c>
      <x:c r="F182" t="str">
        <x:v>Starter Kit</x:v>
      </x:c>
      <x:c r="G182" t="n">
        <x:v>1</x:v>
      </x:c>
      <x:c r="H182" s="40" t="n">
        <x:v>46.14</x:v>
      </x:c>
      <x:c r="I182" s="66" t="n">
        <x:v>0</x:v>
      </x:c>
      <x:c r="J182" s="40" t="n">
        <x:v>46.14</x:v>
      </x:c>
      <x:c r="K182" s="40" t="n">
        <x:v>20</x:v>
      </x:c>
      <x:c r="L182" s="40" t="n">
        <x:v>26.14</x:v>
      </x:c>
    </x:row>
    <x:row r="183">
      <x:c r="A183" s="38" t="n">
        <x:v>46065</x:v>
      </x:c>
      <x:c r="B183" t="str">
        <x:v>2026-02</x:v>
      </x:c>
      <x:c r="C183" t="str">
        <x:v>Finland</x:v>
      </x:c>
      <x:c r="D183" t="str">
        <x:v>Maria</x:v>
      </x:c>
      <x:c r="E183" t="str">
        <x:v>Services</x:v>
      </x:c>
      <x:c r="F183" t="str">
        <x:v>Setup Package</x:v>
      </x:c>
      <x:c r="G183" t="n">
        <x:v>7</x:v>
      </x:c>
      <x:c r="H183" s="40" t="n">
        <x:v>395.62</x:v>
      </x:c>
      <x:c r="I183" s="66" t="n">
        <x:v>0.05</x:v>
      </x:c>
      <x:c r="J183" s="40" t="n">
        <x:v>2630.87</x:v>
      </x:c>
      <x:c r="K183" s="40" t="n">
        <x:v>1120</x:v>
      </x:c>
      <x:c r="L183" s="40" t="n">
        <x:v>1510.87</x:v>
      </x:c>
    </x:row>
    <x:row r="184">
      <x:c r="A184" s="38" t="n">
        <x:v>46090</x:v>
      </x:c>
      <x:c r="B184" t="str">
        <x:v>2026-03</x:v>
      </x:c>
      <x:c r="C184" t="str">
        <x:v>Finland</x:v>
      </x:c>
      <x:c r="D184" t="str">
        <x:v>Elena</x:v>
      </x:c>
      <x:c r="E184" t="str">
        <x:v>Services</x:v>
      </x:c>
      <x:c r="F184" t="str">
        <x:v>Setup Package</x:v>
      </x:c>
      <x:c r="G184" t="n">
        <x:v>2</x:v>
      </x:c>
      <x:c r="H184" s="40" t="n">
        <x:v>434.2</x:v>
      </x:c>
      <x:c r="I184" s="66" t="n">
        <x:v>0.15</x:v>
      </x:c>
      <x:c r="J184" s="40" t="n">
        <x:v>738.14</x:v>
      </x:c>
      <x:c r="K184" s="40" t="n">
        <x:v>320</x:v>
      </x:c>
      <x:c r="L184" s="40" t="n">
        <x:v>418.14</x:v>
      </x:c>
    </x:row>
    <x:row r="185">
      <x:c r="A185" s="38" t="n">
        <x:v>46133</x:v>
      </x:c>
      <x:c r="B185" t="str">
        <x:v>2026-04</x:v>
      </x:c>
      <x:c r="C185" t="str">
        <x:v>Finland</x:v>
      </x:c>
      <x:c r="D185" t="str">
        <x:v>Sofia</x:v>
      </x:c>
      <x:c r="E185" t="str">
        <x:v>Digital</x:v>
      </x:c>
      <x:c r="F185" t="str">
        <x:v>CRM Template</x:v>
      </x:c>
      <x:c r="G185" t="n">
        <x:v>5</x:v>
      </x:c>
      <x:c r="H185" s="40" t="n">
        <x:v>89.88</x:v>
      </x:c>
      <x:c r="I185" s="66" t="n">
        <x:v>0.15</x:v>
      </x:c>
      <x:c r="J185" s="40" t="n">
        <x:v>381.99</x:v>
      </x:c>
      <x:c r="K185" s="40" t="n">
        <x:v>50</x:v>
      </x:c>
      <x:c r="L185" s="40" t="n">
        <x:v>331.99</x:v>
      </x:c>
    </x:row>
    <x:row r="186">
      <x:c r="A186" s="38" t="n">
        <x:v>46052</x:v>
      </x:c>
      <x:c r="B186" t="str">
        <x:v>2026-01</x:v>
      </x:c>
      <x:c r="C186" t="str">
        <x:v>Finland</x:v>
      </x:c>
      <x:c r="D186" t="str">
        <x:v>Anna</x:v>
      </x:c>
      <x:c r="E186" t="str">
        <x:v>Subscription</x:v>
      </x:c>
      <x:c r="F186" t="str">
        <x:v>Starter Kit</x:v>
      </x:c>
      <x:c r="G186" t="n">
        <x:v>4</x:v>
      </x:c>
      <x:c r="H186" s="40" t="n">
        <x:v>51.13</x:v>
      </x:c>
      <x:c r="I186" s="66" t="n">
        <x:v>0.05</x:v>
      </x:c>
      <x:c r="J186" s="40" t="n">
        <x:v>194.29</x:v>
      </x:c>
      <x:c r="K186" s="40" t="n">
        <x:v>80</x:v>
      </x:c>
      <x:c r="L186" s="40" t="n">
        <x:v>114.29</x:v>
      </x:c>
    </x:row>
    <x:row r="187">
      <x:c r="A187" s="38" t="n">
        <x:v>46127</x:v>
      </x:c>
      <x:c r="B187" t="str">
        <x:v>2026-04</x:v>
      </x:c>
      <x:c r="C187" t="str">
        <x:v>Poland</x:v>
      </x:c>
      <x:c r="D187" t="str">
        <x:v>Anna</x:v>
      </x:c>
      <x:c r="E187" t="str">
        <x:v>Services</x:v>
      </x:c>
      <x:c r="F187" t="str">
        <x:v>Consulting 1h</x:v>
      </x:c>
      <x:c r="G187" t="n">
        <x:v>4</x:v>
      </x:c>
      <x:c r="H187" s="40" t="n">
        <x:v>162.26</x:v>
      </x:c>
      <x:c r="I187" s="66" t="n">
        <x:v>0.05</x:v>
      </x:c>
      <x:c r="J187" s="40" t="n">
        <x:v>616.59</x:v>
      </x:c>
      <x:c r="K187" s="40" t="n">
        <x:v>220</x:v>
      </x:c>
      <x:c r="L187" s="40" t="n">
        <x:v>396.59</x:v>
      </x:c>
    </x:row>
    <x:row r="188">
      <x:c r="A188" s="38" t="n">
        <x:v>46116</x:v>
      </x:c>
      <x:c r="B188" t="str">
        <x:v>2026-04</x:v>
      </x:c>
      <x:c r="C188" t="str">
        <x:v>Lithuania</x:v>
      </x:c>
      <x:c r="D188" t="str">
        <x:v>Elena</x:v>
      </x:c>
      <x:c r="E188" t="str">
        <x:v>Subscription</x:v>
      </x:c>
      <x:c r="F188" t="str">
        <x:v>Starter Kit</x:v>
      </x:c>
      <x:c r="G188" t="n">
        <x:v>3</x:v>
      </x:c>
      <x:c r="H188" s="40" t="n">
        <x:v>54.57</x:v>
      </x:c>
      <x:c r="I188" s="66" t="n">
        <x:v>0.15</x:v>
      </x:c>
      <x:c r="J188" s="40" t="n">
        <x:v>139.15</x:v>
      </x:c>
      <x:c r="K188" s="40" t="n">
        <x:v>60</x:v>
      </x:c>
      <x:c r="L188" s="40" t="n">
        <x:v>79.15</x:v>
      </x:c>
    </x:row>
    <x:row r="189">
      <x:c r="A189" s="38" t="n">
        <x:v>46044</x:v>
      </x:c>
      <x:c r="B189" t="str">
        <x:v>2026-01</x:v>
      </x:c>
      <x:c r="C189" t="str">
        <x:v>Estonia</x:v>
      </x:c>
      <x:c r="D189" t="str">
        <x:v>Olga</x:v>
      </x:c>
      <x:c r="E189" t="str">
        <x:v>Subscription</x:v>
      </x:c>
      <x:c r="F189" t="str">
        <x:v>Starter Kit</x:v>
      </x:c>
      <x:c r="G189" t="n">
        <x:v>8</x:v>
      </x:c>
      <x:c r="H189" s="40" t="n">
        <x:v>45</x:v>
      </x:c>
      <x:c r="I189" s="66" t="n">
        <x:v>0</x:v>
      </x:c>
      <x:c r="J189" s="40" t="n">
        <x:v>360</x:v>
      </x:c>
      <x:c r="K189" s="40" t="n">
        <x:v>160</x:v>
      </x:c>
      <x:c r="L189" s="40" t="n">
        <x:v>200</x:v>
      </x:c>
    </x:row>
    <x:row r="190">
      <x:c r="A190" s="38" t="n">
        <x:v>46092</x:v>
      </x:c>
      <x:c r="B190" t="str">
        <x:v>2026-03</x:v>
      </x:c>
      <x:c r="C190" t="str">
        <x:v>Poland</x:v>
      </x:c>
      <x:c r="D190" t="str">
        <x:v>Daria</x:v>
      </x:c>
      <x:c r="E190" t="str">
        <x:v>Subscription</x:v>
      </x:c>
      <x:c r="F190" t="str">
        <x:v>Pro Plan</x:v>
      </x:c>
      <x:c r="G190" t="n">
        <x:v>4</x:v>
      </x:c>
      <x:c r="H190" s="40" t="n">
        <x:v>125.93</x:v>
      </x:c>
      <x:c r="I190" s="66" t="n">
        <x:v>0.1</x:v>
      </x:c>
      <x:c r="J190" s="40" t="n">
        <x:v>453.35</x:v>
      </x:c>
      <x:c r="K190" s="40" t="n">
        <x:v>180</x:v>
      </x:c>
      <x:c r="L190" s="40" t="n">
        <x:v>273.35</x:v>
      </x:c>
    </x:row>
    <x:row r="191">
      <x:c r="A191" s="38" t="n">
        <x:v>46029</x:v>
      </x:c>
      <x:c r="B191" t="str">
        <x:v>2026-01</x:v>
      </x:c>
      <x:c r="C191" t="str">
        <x:v>Poland</x:v>
      </x:c>
      <x:c r="D191" t="str">
        <x:v>Anna</x:v>
      </x:c>
      <x:c r="E191" t="str">
        <x:v>Subscription</x:v>
      </x:c>
      <x:c r="F191" t="str">
        <x:v>Starter Kit</x:v>
      </x:c>
      <x:c r="G191" t="n">
        <x:v>8</x:v>
      </x:c>
      <x:c r="H191" s="40" t="n">
        <x:v>45.23</x:v>
      </x:c>
      <x:c r="I191" s="66" t="n">
        <x:v>0</x:v>
      </x:c>
      <x:c r="J191" s="40" t="n">
        <x:v>361.84</x:v>
      </x:c>
      <x:c r="K191" s="40" t="n">
        <x:v>160</x:v>
      </x:c>
      <x:c r="L191" s="40" t="n">
        <x:v>201.84</x:v>
      </x:c>
    </x:row>
    <x:row r="192">
      <x:c r="A192" s="38" t="n">
        <x:v>46105</x:v>
      </x:c>
      <x:c r="B192" t="str">
        <x:v>2026-03</x:v>
      </x:c>
      <x:c r="C192" t="str">
        <x:v>Finland</x:v>
      </x:c>
      <x:c r="D192" t="str">
        <x:v>Elena</x:v>
      </x:c>
      <x:c r="E192" t="str">
        <x:v>Education</x:v>
      </x:c>
      <x:c r="F192" t="str">
        <x:v>Training Session</x:v>
      </x:c>
      <x:c r="G192" t="n">
        <x:v>7</x:v>
      </x:c>
      <x:c r="H192" s="40" t="n">
        <x:v>225.89</x:v>
      </x:c>
      <x:c r="I192" s="66" t="n">
        <x:v>0.15</x:v>
      </x:c>
      <x:c r="J192" s="40" t="n">
        <x:v>1344.05</x:v>
      </x:c>
      <x:c r="K192" s="40" t="n">
        <x:v>490</x:v>
      </x:c>
      <x:c r="L192" s="40" t="n">
        <x:v>854.05</x:v>
      </x:c>
    </x:row>
    <x:row r="193">
      <x:c r="A193" s="38" t="n">
        <x:v>46088</x:v>
      </x:c>
      <x:c r="B193" t="str">
        <x:v>2026-03</x:v>
      </x:c>
      <x:c r="C193" t="str">
        <x:v>Finland</x:v>
      </x:c>
      <x:c r="D193" t="str">
        <x:v>Anna</x:v>
      </x:c>
      <x:c r="E193" t="str">
        <x:v>Services</x:v>
      </x:c>
      <x:c r="F193" t="str">
        <x:v>Setup Package</x:v>
      </x:c>
      <x:c r="G193" t="n">
        <x:v>4</x:v>
      </x:c>
      <x:c r="H193" s="40" t="n">
        <x:v>371.82</x:v>
      </x:c>
      <x:c r="I193" s="66" t="n">
        <x:v>0.15</x:v>
      </x:c>
      <x:c r="J193" s="40" t="n">
        <x:v>1264.19</x:v>
      </x:c>
      <x:c r="K193" s="40" t="n">
        <x:v>640</x:v>
      </x:c>
      <x:c r="L193" s="40" t="n">
        <x:v>624.19</x:v>
      </x:c>
    </x:row>
    <x:row r="194">
      <x:c r="A194" s="38" t="n">
        <x:v>46046</x:v>
      </x:c>
      <x:c r="B194" t="str">
        <x:v>2026-01</x:v>
      </x:c>
      <x:c r="C194" t="str">
        <x:v>Estonia</x:v>
      </x:c>
      <x:c r="D194" t="str">
        <x:v>Daria</x:v>
      </x:c>
      <x:c r="E194" t="str">
        <x:v>Subscription</x:v>
      </x:c>
      <x:c r="F194" t="str">
        <x:v>Starter Kit</x:v>
      </x:c>
      <x:c r="G194" t="n">
        <x:v>3</x:v>
      </x:c>
      <x:c r="H194" s="40" t="n">
        <x:v>45.46</x:v>
      </x:c>
      <x:c r="I194" s="66" t="n">
        <x:v>0</x:v>
      </x:c>
      <x:c r="J194" s="40" t="n">
        <x:v>136.38</x:v>
      </x:c>
      <x:c r="K194" s="40" t="n">
        <x:v>60</x:v>
      </x:c>
      <x:c r="L194" s="40" t="n">
        <x:v>76.38</x:v>
      </x:c>
    </x:row>
    <x:row r="195">
      <x:c r="A195" s="38" t="n">
        <x:v>46079</x:v>
      </x:c>
      <x:c r="B195" t="str">
        <x:v>2026-02</x:v>
      </x:c>
      <x:c r="C195" t="str">
        <x:v>Poland</x:v>
      </x:c>
      <x:c r="D195" t="str">
        <x:v>Olga</x:v>
      </x:c>
      <x:c r="E195" t="str">
        <x:v>Subscription</x:v>
      </x:c>
      <x:c r="F195" t="str">
        <x:v>Pro Plan</x:v>
      </x:c>
      <x:c r="G195" t="n">
        <x:v>1</x:v>
      </x:c>
      <x:c r="H195" s="40" t="n">
        <x:v>146.45</x:v>
      </x:c>
      <x:c r="I195" s="66" t="n">
        <x:v>0.05</x:v>
      </x:c>
      <x:c r="J195" s="40" t="n">
        <x:v>139.13</x:v>
      </x:c>
      <x:c r="K195" s="40" t="n">
        <x:v>45</x:v>
      </x:c>
      <x:c r="L195" s="40" t="n">
        <x:v>94.13</x:v>
      </x:c>
    </x:row>
    <x:row r="196">
      <x:c r="A196" s="38" t="n">
        <x:v>46166</x:v>
      </x:c>
      <x:c r="B196" t="str">
        <x:v>2026-05</x:v>
      </x:c>
      <x:c r="C196" t="str">
        <x:v>Latvia</x:v>
      </x:c>
      <x:c r="D196" t="str">
        <x:v>Anna</x:v>
      </x:c>
      <x:c r="E196" t="str">
        <x:v>Digital</x:v>
      </x:c>
      <x:c r="F196" t="str">
        <x:v>Dashboard Template</x:v>
      </x:c>
      <x:c r="G196" t="n">
        <x:v>3</x:v>
      </x:c>
      <x:c r="H196" s="40" t="n">
        <x:v>62.75</x:v>
      </x:c>
      <x:c r="I196" s="66" t="n">
        <x:v>0.1</x:v>
      </x:c>
      <x:c r="J196" s="40" t="n">
        <x:v>169.43</x:v>
      </x:c>
      <x:c r="K196" s="40" t="n">
        <x:v>24</x:v>
      </x:c>
      <x:c r="L196" s="40" t="n">
        <x:v>145.43</x:v>
      </x:c>
    </x:row>
    <x:row r="197">
      <x:c r="A197" s="38" t="n">
        <x:v>46200</x:v>
      </x:c>
      <x:c r="B197" t="str">
        <x:v>2026-06</x:v>
      </x:c>
      <x:c r="C197" t="str">
        <x:v>Latvia</x:v>
      </x:c>
      <x:c r="D197" t="str">
        <x:v>Olga</x:v>
      </x:c>
      <x:c r="E197" t="str">
        <x:v>Digital</x:v>
      </x:c>
      <x:c r="F197" t="str">
        <x:v>Dashboard Template</x:v>
      </x:c>
      <x:c r="G197" t="n">
        <x:v>4</x:v>
      </x:c>
      <x:c r="H197" s="40" t="n">
        <x:v>63.57</x:v>
      </x:c>
      <x:c r="I197" s="66" t="n">
        <x:v>0.15</x:v>
      </x:c>
      <x:c r="J197" s="40" t="n">
        <x:v>216.14</x:v>
      </x:c>
      <x:c r="K197" s="40" t="n">
        <x:v>32</x:v>
      </x:c>
      <x:c r="L197" s="40" t="n">
        <x:v>184.14</x:v>
      </x:c>
    </x:row>
    <x:row r="198">
      <x:c r="A198" s="38" t="n">
        <x:v>46035</x:v>
      </x:c>
      <x:c r="B198" t="str">
        <x:v>2026-01</x:v>
      </x:c>
      <x:c r="C198" t="str">
        <x:v>Latvia</x:v>
      </x:c>
      <x:c r="D198" t="str">
        <x:v>Daria</x:v>
      </x:c>
      <x:c r="E198" t="str">
        <x:v>Subscription</x:v>
      </x:c>
      <x:c r="F198" t="str">
        <x:v>Pro Plan</x:v>
      </x:c>
      <x:c r="G198" t="n">
        <x:v>4</x:v>
      </x:c>
      <x:c r="H198" s="40" t="n">
        <x:v>130.18</x:v>
      </x:c>
      <x:c r="I198" s="66" t="n">
        <x:v>0</x:v>
      </x:c>
      <x:c r="J198" s="40" t="n">
        <x:v>520.72</x:v>
      </x:c>
      <x:c r="K198" s="40" t="n">
        <x:v>180</x:v>
      </x:c>
      <x:c r="L198" s="40" t="n">
        <x:v>340.72</x:v>
      </x:c>
    </x:row>
    <x:row r="199">
      <x:c r="A199" s="38" t="n">
        <x:v>46061</x:v>
      </x:c>
      <x:c r="B199" t="str">
        <x:v>2026-02</x:v>
      </x:c>
      <x:c r="C199" t="str">
        <x:v>Poland</x:v>
      </x:c>
      <x:c r="D199" t="str">
        <x:v>Anna</x:v>
      </x:c>
      <x:c r="E199" t="str">
        <x:v>Digital</x:v>
      </x:c>
      <x:c r="F199" t="str">
        <x:v>Dashboard Template</x:v>
      </x:c>
      <x:c r="G199" t="n">
        <x:v>4</x:v>
      </x:c>
      <x:c r="H199" s="40" t="n">
        <x:v>72.23</x:v>
      </x:c>
      <x:c r="I199" s="66" t="n">
        <x:v>0.1</x:v>
      </x:c>
      <x:c r="J199" s="40" t="n">
        <x:v>260.03</x:v>
      </x:c>
      <x:c r="K199" s="40" t="n">
        <x:v>32</x:v>
      </x:c>
      <x:c r="L199" s="40" t="n">
        <x:v>228.03</x:v>
      </x:c>
    </x:row>
    <x:row r="200">
      <x:c r="A200" s="38" t="n">
        <x:v>46185</x:v>
      </x:c>
      <x:c r="B200" t="str">
        <x:v>2026-06</x:v>
      </x:c>
      <x:c r="C200" t="str">
        <x:v>Poland</x:v>
      </x:c>
      <x:c r="D200" t="str">
        <x:v>Maria</x:v>
      </x:c>
      <x:c r="E200" t="str">
        <x:v>Subscription</x:v>
      </x:c>
      <x:c r="F200" t="str">
        <x:v>Pro Plan</x:v>
      </x:c>
      <x:c r="G200" t="n">
        <x:v>3</x:v>
      </x:c>
      <x:c r="H200" s="40" t="n">
        <x:v>128.21</x:v>
      </x:c>
      <x:c r="I200" s="66" t="n">
        <x:v>0</x:v>
      </x:c>
      <x:c r="J200" s="40" t="n">
        <x:v>384.63</x:v>
      </x:c>
      <x:c r="K200" s="40" t="n">
        <x:v>135</x:v>
      </x:c>
      <x:c r="L200" s="40" t="n">
        <x:v>249.63</x:v>
      </x:c>
    </x:row>
    <x:row r="201">
      <x:c r="A201" s="38" t="n">
        <x:v>46169</x:v>
      </x:c>
      <x:c r="B201" t="str">
        <x:v>2026-05</x:v>
      </x:c>
      <x:c r="C201" t="str">
        <x:v>Finland</x:v>
      </x:c>
      <x:c r="D201" t="str">
        <x:v>Daria</x:v>
      </x:c>
      <x:c r="E201" t="str">
        <x:v>Services</x:v>
      </x:c>
      <x:c r="F201" t="str">
        <x:v>Setup Package</x:v>
      </x:c>
      <x:c r="G201" t="n">
        <x:v>2</x:v>
      </x:c>
      <x:c r="H201" s="40" t="n">
        <x:v>352.54</x:v>
      </x:c>
      <x:c r="I201" s="66" t="n">
        <x:v>0.05</x:v>
      </x:c>
      <x:c r="J201" s="40" t="n">
        <x:v>669.83</x:v>
      </x:c>
      <x:c r="K201" s="40" t="n">
        <x:v>320</x:v>
      </x:c>
      <x:c r="L201" s="40" t="n">
        <x:v>349.83</x:v>
      </x:c>
    </x:row>
    <x:row r="202">
      <x:c r="A202" s="38" t="n">
        <x:v>46046</x:v>
      </x:c>
      <x:c r="B202" t="str">
        <x:v>2026-01</x:v>
      </x:c>
      <x:c r="C202" t="str">
        <x:v>Finland</x:v>
      </x:c>
      <x:c r="D202" t="str">
        <x:v>Sofia</x:v>
      </x:c>
      <x:c r="E202" t="str">
        <x:v>Education</x:v>
      </x:c>
      <x:c r="F202" t="str">
        <x:v>Training Session</x:v>
      </x:c>
      <x:c r="G202" t="n">
        <x:v>8</x:v>
      </x:c>
      <x:c r="H202" s="40" t="n">
        <x:v>195.83</x:v>
      </x:c>
      <x:c r="I202" s="66" t="n">
        <x:v>0.1</x:v>
      </x:c>
      <x:c r="J202" s="40" t="n">
        <x:v>1409.98</x:v>
      </x:c>
      <x:c r="K202" s="40" t="n">
        <x:v>560</x:v>
      </x:c>
      <x:c r="L202" s="40" t="n">
        <x:v>849.98</x:v>
      </x:c>
    </x:row>
    <x:row r="203">
      <x:c r="A203" s="38" t="n">
        <x:v>46121</x:v>
      </x:c>
      <x:c r="B203" t="str">
        <x:v>2026-04</x:v>
      </x:c>
      <x:c r="C203" t="str">
        <x:v>Latvia</x:v>
      </x:c>
      <x:c r="D203" t="str">
        <x:v>Anna</x:v>
      </x:c>
      <x:c r="E203" t="str">
        <x:v>Services</x:v>
      </x:c>
      <x:c r="F203" t="str">
        <x:v>Consulting 1h</x:v>
      </x:c>
      <x:c r="G203" t="n">
        <x:v>7</x:v>
      </x:c>
      <x:c r="H203" s="40" t="n">
        <x:v>142.32</x:v>
      </x:c>
      <x:c r="I203" s="66" t="n">
        <x:v>0.1</x:v>
      </x:c>
      <x:c r="J203" s="40" t="n">
        <x:v>896.62</x:v>
      </x:c>
      <x:c r="K203" s="40" t="n">
        <x:v>385</x:v>
      </x:c>
      <x:c r="L203" s="40" t="n">
        <x:v>511.62</x:v>
      </x:c>
    </x:row>
    <x:row r="204">
      <x:c r="A204" s="38" t="n">
        <x:v>46093</x:v>
      </x:c>
      <x:c r="B204" t="str">
        <x:v>2026-03</x:v>
      </x:c>
      <x:c r="C204" t="str">
        <x:v>Finland</x:v>
      </x:c>
      <x:c r="D204" t="str">
        <x:v>Olga</x:v>
      </x:c>
      <x:c r="E204" t="str">
        <x:v>Services</x:v>
      </x:c>
      <x:c r="F204" t="str">
        <x:v>Consulting 1h</x:v>
      </x:c>
      <x:c r="G204" t="n">
        <x:v>2</x:v>
      </x:c>
      <x:c r="H204" s="40" t="n">
        <x:v>139.01</x:v>
      </x:c>
      <x:c r="I204" s="66" t="n">
        <x:v>0</x:v>
      </x:c>
      <x:c r="J204" s="40" t="n">
        <x:v>278.02</x:v>
      </x:c>
      <x:c r="K204" s="40" t="n">
        <x:v>110</x:v>
      </x:c>
      <x:c r="L204" s="40" t="n">
        <x:v>168.02</x:v>
      </x:c>
    </x:row>
    <x:row r="205">
      <x:c r="A205" s="38" t="n">
        <x:v>46187</x:v>
      </x:c>
      <x:c r="B205" t="str">
        <x:v>2026-06</x:v>
      </x:c>
      <x:c r="C205" t="str">
        <x:v>Poland</x:v>
      </x:c>
      <x:c r="D205" t="str">
        <x:v>Elena</x:v>
      </x:c>
      <x:c r="E205" t="str">
        <x:v>Education</x:v>
      </x:c>
      <x:c r="F205" t="str">
        <x:v>Training Session</x:v>
      </x:c>
      <x:c r="G205" t="n">
        <x:v>8</x:v>
      </x:c>
      <x:c r="H205" s="40" t="n">
        <x:v>191.77</x:v>
      </x:c>
      <x:c r="I205" s="66" t="n">
        <x:v>0.05</x:v>
      </x:c>
      <x:c r="J205" s="40" t="n">
        <x:v>1457.45</x:v>
      </x:c>
      <x:c r="K205" s="40" t="n">
        <x:v>560</x:v>
      </x:c>
      <x:c r="L205" s="40" t="n">
        <x:v>897.45</x:v>
      </x:c>
    </x:row>
    <x:row r="206">
      <x:c r="A206" s="38" t="n">
        <x:v>46159</x:v>
      </x:c>
      <x:c r="B206" t="str">
        <x:v>2026-05</x:v>
      </x:c>
      <x:c r="C206" t="str">
        <x:v>Latvia</x:v>
      </x:c>
      <x:c r="D206" t="str">
        <x:v>Olga</x:v>
      </x:c>
      <x:c r="E206" t="str">
        <x:v>Subscription</x:v>
      </x:c>
      <x:c r="F206" t="str">
        <x:v>Pro Plan</x:v>
      </x:c>
      <x:c r="G206" t="n">
        <x:v>3</x:v>
      </x:c>
      <x:c r="H206" s="40" t="n">
        <x:v>123.66</x:v>
      </x:c>
      <x:c r="I206" s="66" t="n">
        <x:v>0</x:v>
      </x:c>
      <x:c r="J206" s="40" t="n">
        <x:v>370.98</x:v>
      </x:c>
      <x:c r="K206" s="40" t="n">
        <x:v>135</x:v>
      </x:c>
      <x:c r="L206" s="40" t="n">
        <x:v>235.98</x:v>
      </x:c>
    </x:row>
    <x:row r="207">
      <x:c r="A207" s="38" t="n">
        <x:v>46077</x:v>
      </x:c>
      <x:c r="B207" t="str">
        <x:v>2026-02</x:v>
      </x:c>
      <x:c r="C207" t="str">
        <x:v>Poland</x:v>
      </x:c>
      <x:c r="D207" t="str">
        <x:v>Maria</x:v>
      </x:c>
      <x:c r="E207" t="str">
        <x:v>Subscription</x:v>
      </x:c>
      <x:c r="F207" t="str">
        <x:v>Starter Kit</x:v>
      </x:c>
      <x:c r="G207" t="n">
        <x:v>2</x:v>
      </x:c>
      <x:c r="H207" s="40" t="n">
        <x:v>46.16</x:v>
      </x:c>
      <x:c r="I207" s="66" t="n">
        <x:v>0</x:v>
      </x:c>
      <x:c r="J207" s="40" t="n">
        <x:v>92.32</x:v>
      </x:c>
      <x:c r="K207" s="40" t="n">
        <x:v>40</x:v>
      </x:c>
      <x:c r="L207" s="40" t="n">
        <x:v>52.32</x:v>
      </x:c>
    </x:row>
    <x:row r="208">
      <x:c r="A208" s="38" t="n">
        <x:v>46071</x:v>
      </x:c>
      <x:c r="B208" t="str">
        <x:v>2026-02</x:v>
      </x:c>
      <x:c r="C208" t="str">
        <x:v>Estonia</x:v>
      </x:c>
      <x:c r="D208" t="str">
        <x:v>Anna</x:v>
      </x:c>
      <x:c r="E208" t="str">
        <x:v>Digital</x:v>
      </x:c>
      <x:c r="F208" t="str">
        <x:v>Dashboard Template</x:v>
      </x:c>
      <x:c r="G208" t="n">
        <x:v>6</x:v>
      </x:c>
      <x:c r="H208" s="40" t="n">
        <x:v>65.39</x:v>
      </x:c>
      <x:c r="I208" s="66" t="n">
        <x:v>0.05</x:v>
      </x:c>
      <x:c r="J208" s="40" t="n">
        <x:v>372.72</x:v>
      </x:c>
      <x:c r="K208" s="40" t="n">
        <x:v>48</x:v>
      </x:c>
      <x:c r="L208" s="40" t="n">
        <x:v>324.72</x:v>
      </x:c>
    </x:row>
    <x:row r="209">
      <x:c r="A209" s="38" t="n">
        <x:v>46160</x:v>
      </x:c>
      <x:c r="B209" t="str">
        <x:v>2026-05</x:v>
      </x:c>
      <x:c r="C209" t="str">
        <x:v>Finland</x:v>
      </x:c>
      <x:c r="D209" t="str">
        <x:v>Elena</x:v>
      </x:c>
      <x:c r="E209" t="str">
        <x:v>Digital</x:v>
      </x:c>
      <x:c r="F209" t="str">
        <x:v>CRM Template</x:v>
      </x:c>
      <x:c r="G209" t="n">
        <x:v>4</x:v>
      </x:c>
      <x:c r="H209" s="40" t="n">
        <x:v>96.42</x:v>
      </x:c>
      <x:c r="I209" s="66" t="n">
        <x:v>0.05</x:v>
      </x:c>
      <x:c r="J209" s="40" t="n">
        <x:v>366.4</x:v>
      </x:c>
      <x:c r="K209" s="40" t="n">
        <x:v>40</x:v>
      </x:c>
      <x:c r="L209" s="40" t="n">
        <x:v>326.4</x:v>
      </x:c>
    </x:row>
    <x:row r="210">
      <x:c r="A210" s="38" t="n">
        <x:v>46132</x:v>
      </x:c>
      <x:c r="B210" t="str">
        <x:v>2026-04</x:v>
      </x:c>
      <x:c r="C210" t="str">
        <x:v>Poland</x:v>
      </x:c>
      <x:c r="D210" t="str">
        <x:v>Maria</x:v>
      </x:c>
      <x:c r="E210" t="str">
        <x:v>Digital</x:v>
      </x:c>
      <x:c r="F210" t="str">
        <x:v>Dashboard Template</x:v>
      </x:c>
      <x:c r="G210" t="n">
        <x:v>4</x:v>
      </x:c>
      <x:c r="H210" s="40" t="n">
        <x:v>72.51</x:v>
      </x:c>
      <x:c r="I210" s="66" t="n">
        <x:v>0</x:v>
      </x:c>
      <x:c r="J210" s="40" t="n">
        <x:v>290.04</x:v>
      </x:c>
      <x:c r="K210" s="40" t="n">
        <x:v>32</x:v>
      </x:c>
      <x:c r="L210" s="40" t="n">
        <x:v>258.04</x:v>
      </x:c>
    </x:row>
    <x:row r="211">
      <x:c r="A211" s="38" t="n">
        <x:v>46095</x:v>
      </x:c>
      <x:c r="B211" t="str">
        <x:v>2026-03</x:v>
      </x:c>
      <x:c r="C211" t="str">
        <x:v>Finland</x:v>
      </x:c>
      <x:c r="D211" t="str">
        <x:v>Daria</x:v>
      </x:c>
      <x:c r="E211" t="str">
        <x:v>Digital</x:v>
      </x:c>
      <x:c r="F211" t="str">
        <x:v>Dashboard Template</x:v>
      </x:c>
      <x:c r="G211" t="n">
        <x:v>4</x:v>
      </x:c>
      <x:c r="H211" s="40" t="n">
        <x:v>77.31</x:v>
      </x:c>
      <x:c r="I211" s="66" t="n">
        <x:v>0.1</x:v>
      </x:c>
      <x:c r="J211" s="40" t="n">
        <x:v>278.32</x:v>
      </x:c>
      <x:c r="K211" s="40" t="n">
        <x:v>32</x:v>
      </x:c>
      <x:c r="L211" s="40" t="n">
        <x:v>246.32</x:v>
      </x:c>
    </x:row>
    <x:row r="212">
      <x:c r="A212" s="38" t="n">
        <x:v>46203</x:v>
      </x:c>
      <x:c r="B212" t="str">
        <x:v>2026-06</x:v>
      </x:c>
      <x:c r="C212" t="str">
        <x:v>Latvia</x:v>
      </x:c>
      <x:c r="D212" t="str">
        <x:v>Olga</x:v>
      </x:c>
      <x:c r="E212" t="str">
        <x:v>Services</x:v>
      </x:c>
      <x:c r="F212" t="str">
        <x:v>Consulting 1h</x:v>
      </x:c>
      <x:c r="G212" t="n">
        <x:v>8</x:v>
      </x:c>
      <x:c r="H212" s="40" t="n">
        <x:v>157.58</x:v>
      </x:c>
      <x:c r="I212" s="66" t="n">
        <x:v>0</x:v>
      </x:c>
      <x:c r="J212" s="40" t="n">
        <x:v>1260.64</x:v>
      </x:c>
      <x:c r="K212" s="40" t="n">
        <x:v>440</x:v>
      </x:c>
      <x:c r="L212" s="40" t="n">
        <x:v>820.64</x:v>
      </x:c>
    </x:row>
    <x:row r="213">
      <x:c r="A213" s="38" t="n">
        <x:v>46155</x:v>
      </x:c>
      <x:c r="B213" t="str">
        <x:v>2026-05</x:v>
      </x:c>
      <x:c r="C213" t="str">
        <x:v>Finland</x:v>
      </x:c>
      <x:c r="D213" t="str">
        <x:v>Sofia</x:v>
      </x:c>
      <x:c r="E213" t="str">
        <x:v>Digital</x:v>
      </x:c>
      <x:c r="F213" t="str">
        <x:v>CRM Template</x:v>
      </x:c>
      <x:c r="G213" t="n">
        <x:v>5</x:v>
      </x:c>
      <x:c r="H213" s="40" t="n">
        <x:v>94.9</x:v>
      </x:c>
      <x:c r="I213" s="66" t="n">
        <x:v>0.1</x:v>
      </x:c>
      <x:c r="J213" s="40" t="n">
        <x:v>427.05</x:v>
      </x:c>
      <x:c r="K213" s="40" t="n">
        <x:v>50</x:v>
      </x:c>
      <x:c r="L213" s="40" t="n">
        <x:v>377.05</x:v>
      </x:c>
    </x:row>
    <x:row r="214">
      <x:c r="A214" s="38" t="n">
        <x:v>46153</x:v>
      </x:c>
      <x:c r="B214" t="str">
        <x:v>2026-05</x:v>
      </x:c>
      <x:c r="C214" t="str">
        <x:v>Poland</x:v>
      </x:c>
      <x:c r="D214" t="str">
        <x:v>Elena</x:v>
      </x:c>
      <x:c r="E214" t="str">
        <x:v>Services</x:v>
      </x:c>
      <x:c r="F214" t="str">
        <x:v>Consulting 1h</x:v>
      </x:c>
      <x:c r="G214" t="n">
        <x:v>8</x:v>
      </x:c>
      <x:c r="H214" s="40" t="n">
        <x:v>149.71</x:v>
      </x:c>
      <x:c r="I214" s="66" t="n">
        <x:v>0.15</x:v>
      </x:c>
      <x:c r="J214" s="40" t="n">
        <x:v>1018.03</x:v>
      </x:c>
      <x:c r="K214" s="40" t="n">
        <x:v>440</x:v>
      </x:c>
      <x:c r="L214" s="40" t="n">
        <x:v>578.03</x:v>
      </x:c>
    </x:row>
    <x:row r="215">
      <x:c r="A215" s="38" t="n">
        <x:v>46130</x:v>
      </x:c>
      <x:c r="B215" t="str">
        <x:v>2026-04</x:v>
      </x:c>
      <x:c r="C215" t="str">
        <x:v>Latvia</x:v>
      </x:c>
      <x:c r="D215" t="str">
        <x:v>Anna</x:v>
      </x:c>
      <x:c r="E215" t="str">
        <x:v>Education</x:v>
      </x:c>
      <x:c r="F215" t="str">
        <x:v>Training Session</x:v>
      </x:c>
      <x:c r="G215" t="n">
        <x:v>8</x:v>
      </x:c>
      <x:c r="H215" s="40" t="n">
        <x:v>233.26</x:v>
      </x:c>
      <x:c r="I215" s="66" t="n">
        <x:v>0.15</x:v>
      </x:c>
      <x:c r="J215" s="40" t="n">
        <x:v>1586.17</x:v>
      </x:c>
      <x:c r="K215" s="40" t="n">
        <x:v>560</x:v>
      </x:c>
      <x:c r="L215" s="40" t="n">
        <x:v>1026.17</x:v>
      </x:c>
    </x:row>
    <x:row r="216">
      <x:c r="A216" s="38" t="n">
        <x:v>46032</x:v>
      </x:c>
      <x:c r="B216" t="str">
        <x:v>2026-01</x:v>
      </x:c>
      <x:c r="C216" t="str">
        <x:v>Lithuania</x:v>
      </x:c>
      <x:c r="D216" t="str">
        <x:v>Olga</x:v>
      </x:c>
      <x:c r="E216" t="str">
        <x:v>Subscription</x:v>
      </x:c>
      <x:c r="F216" t="str">
        <x:v>Starter Kit</x:v>
      </x:c>
      <x:c r="G216" t="n">
        <x:v>7</x:v>
      </x:c>
      <x:c r="H216" s="40" t="n">
        <x:v>51.36</x:v>
      </x:c>
      <x:c r="I216" s="66" t="n">
        <x:v>0.1</x:v>
      </x:c>
      <x:c r="J216" s="40" t="n">
        <x:v>323.57</x:v>
      </x:c>
      <x:c r="K216" s="40" t="n">
        <x:v>140</x:v>
      </x:c>
      <x:c r="L216" s="40" t="n">
        <x:v>183.57</x:v>
      </x:c>
    </x:row>
    <x:row r="217">
      <x:c r="A217" s="38" t="n">
        <x:v>46088</x:v>
      </x:c>
      <x:c r="B217" t="str">
        <x:v>2026-03</x:v>
      </x:c>
      <x:c r="C217" t="str">
        <x:v>Latvia</x:v>
      </x:c>
      <x:c r="D217" t="str">
        <x:v>Daria</x:v>
      </x:c>
      <x:c r="E217" t="str">
        <x:v>Digital</x:v>
      </x:c>
      <x:c r="F217" t="str">
        <x:v>Dashboard Template</x:v>
      </x:c>
      <x:c r="G217" t="n">
        <x:v>6</x:v>
      </x:c>
      <x:c r="H217" s="40" t="n">
        <x:v>77.21</x:v>
      </x:c>
      <x:c r="I217" s="66" t="n">
        <x:v>0</x:v>
      </x:c>
      <x:c r="J217" s="40" t="n">
        <x:v>463.26</x:v>
      </x:c>
      <x:c r="K217" s="40" t="n">
        <x:v>48</x:v>
      </x:c>
      <x:c r="L217" s="40" t="n">
        <x:v>415.26</x:v>
      </x:c>
    </x:row>
    <x:row r="218">
      <x:c r="A218" s="38" t="n">
        <x:v>46129</x:v>
      </x:c>
      <x:c r="B218" t="str">
        <x:v>2026-04</x:v>
      </x:c>
      <x:c r="C218" t="str">
        <x:v>Lithuania</x:v>
      </x:c>
      <x:c r="D218" t="str">
        <x:v>Olga</x:v>
      </x:c>
      <x:c r="E218" t="str">
        <x:v>Subscription</x:v>
      </x:c>
      <x:c r="F218" t="str">
        <x:v>Pro Plan</x:v>
      </x:c>
      <x:c r="G218" t="n">
        <x:v>2</x:v>
      </x:c>
      <x:c r="H218" s="40" t="n">
        <x:v>145.02</x:v>
      </x:c>
      <x:c r="I218" s="66" t="n">
        <x:v>0.05</x:v>
      </x:c>
      <x:c r="J218" s="40" t="n">
        <x:v>275.54</x:v>
      </x:c>
      <x:c r="K218" s="40" t="n">
        <x:v>90</x:v>
      </x:c>
      <x:c r="L218" s="40" t="n">
        <x:v>185.54</x:v>
      </x:c>
    </x:row>
    <x:row r="219">
      <x:c r="A219" s="38" t="n">
        <x:v>46201</x:v>
      </x:c>
      <x:c r="B219" t="str">
        <x:v>2026-06</x:v>
      </x:c>
      <x:c r="C219" t="str">
        <x:v>Finland</x:v>
      </x:c>
      <x:c r="D219" t="str">
        <x:v>Elena</x:v>
      </x:c>
      <x:c r="E219" t="str">
        <x:v>Education</x:v>
      </x:c>
      <x:c r="F219" t="str">
        <x:v>Training Session</x:v>
      </x:c>
      <x:c r="G219" t="n">
        <x:v>4</x:v>
      </x:c>
      <x:c r="H219" s="40" t="n">
        <x:v>198.06</x:v>
      </x:c>
      <x:c r="I219" s="66" t="n">
        <x:v>0</x:v>
      </x:c>
      <x:c r="J219" s="40" t="n">
        <x:v>792.24</x:v>
      </x:c>
      <x:c r="K219" s="40" t="n">
        <x:v>280</x:v>
      </x:c>
      <x:c r="L219" s="40" t="n">
        <x:v>512.24</x:v>
      </x:c>
    </x:row>
    <x:row r="220">
      <x:c r="A220" s="38" t="n">
        <x:v>46101</x:v>
      </x:c>
      <x:c r="B220" t="str">
        <x:v>2026-03</x:v>
      </x:c>
      <x:c r="C220" t="str">
        <x:v>Latvia</x:v>
      </x:c>
      <x:c r="D220" t="str">
        <x:v>Anna</x:v>
      </x:c>
      <x:c r="E220" t="str">
        <x:v>Digital</x:v>
      </x:c>
      <x:c r="F220" t="str">
        <x:v>Dashboard Template</x:v>
      </x:c>
      <x:c r="G220" t="n">
        <x:v>6</x:v>
      </x:c>
      <x:c r="H220" s="40" t="n">
        <x:v>70.43</x:v>
      </x:c>
      <x:c r="I220" s="66" t="n">
        <x:v>0.05</x:v>
      </x:c>
      <x:c r="J220" s="40" t="n">
        <x:v>401.45</x:v>
      </x:c>
      <x:c r="K220" s="40" t="n">
        <x:v>48</x:v>
      </x:c>
      <x:c r="L220" s="40" t="n">
        <x:v>353.45</x:v>
      </x:c>
    </x:row>
    <x:row r="221">
      <x:c r="A221" s="38" t="n">
        <x:v>46098</x:v>
      </x:c>
      <x:c r="B221" t="str">
        <x:v>2026-03</x:v>
      </x:c>
      <x:c r="C221" t="str">
        <x:v>Lithuania</x:v>
      </x:c>
      <x:c r="D221" t="str">
        <x:v>Sofia</x:v>
      </x:c>
      <x:c r="E221" t="str">
        <x:v>Digital</x:v>
      </x:c>
      <x:c r="F221" t="str">
        <x:v>Dashboard Template</x:v>
      </x:c>
      <x:c r="G221" t="n">
        <x:v>2</x:v>
      </x:c>
      <x:c r="H221" s="40" t="n">
        <x:v>77.05</x:v>
      </x:c>
      <x:c r="I221" s="66" t="n">
        <x:v>0.15</x:v>
      </x:c>
      <x:c r="J221" s="40" t="n">
        <x:v>130.98</x:v>
      </x:c>
      <x:c r="K221" s="40" t="n">
        <x:v>16</x:v>
      </x:c>
      <x:c r="L221" s="40" t="n">
        <x:v>114.98</x:v>
      </x:c>
    </x:row>
    <x:row r="222">
      <x:c r="A222" s="38" t="n">
        <x:v>46109</x:v>
      </x:c>
      <x:c r="B222" t="str">
        <x:v>2026-03</x:v>
      </x:c>
      <x:c r="C222" t="str">
        <x:v>Poland</x:v>
      </x:c>
      <x:c r="D222" t="str">
        <x:v>Daria</x:v>
      </x:c>
      <x:c r="E222" t="str">
        <x:v>Subscription</x:v>
      </x:c>
      <x:c r="F222" t="str">
        <x:v>Pro Plan</x:v>
      </x:c>
      <x:c r="G222" t="n">
        <x:v>2</x:v>
      </x:c>
      <x:c r="H222" s="40" t="n">
        <x:v>142.33</x:v>
      </x:c>
      <x:c r="I222" s="66" t="n">
        <x:v>0</x:v>
      </x:c>
      <x:c r="J222" s="40" t="n">
        <x:v>284.66</x:v>
      </x:c>
      <x:c r="K222" s="40" t="n">
        <x:v>90</x:v>
      </x:c>
      <x:c r="L222" s="40" t="n">
        <x:v>194.66</x:v>
      </x:c>
    </x:row>
    <x:row r="223">
      <x:c r="A223" s="38" t="n">
        <x:v>46161</x:v>
      </x:c>
      <x:c r="B223" t="str">
        <x:v>2026-05</x:v>
      </x:c>
      <x:c r="C223" t="str">
        <x:v>Finland</x:v>
      </x:c>
      <x:c r="D223" t="str">
        <x:v>Anna</x:v>
      </x:c>
      <x:c r="E223" t="str">
        <x:v>Services</x:v>
      </x:c>
      <x:c r="F223" t="str">
        <x:v>Consulting 1h</x:v>
      </x:c>
      <x:c r="G223" t="n">
        <x:v>6</x:v>
      </x:c>
      <x:c r="H223" s="40" t="n">
        <x:v>147.03</x:v>
      </x:c>
      <x:c r="I223" s="66" t="n">
        <x:v>0</x:v>
      </x:c>
      <x:c r="J223" s="40" t="n">
        <x:v>882.18</x:v>
      </x:c>
      <x:c r="K223" s="40" t="n">
        <x:v>330</x:v>
      </x:c>
      <x:c r="L223" s="40" t="n">
        <x:v>552.18</x:v>
      </x:c>
    </x:row>
    <x:row r="224">
      <x:c r="A224" s="38" t="n">
        <x:v>46124</x:v>
      </x:c>
      <x:c r="B224" t="str">
        <x:v>2026-04</x:v>
      </x:c>
      <x:c r="C224" t="str">
        <x:v>Poland</x:v>
      </x:c>
      <x:c r="D224" t="str">
        <x:v>Anna</x:v>
      </x:c>
      <x:c r="E224" t="str">
        <x:v>Services</x:v>
      </x:c>
      <x:c r="F224" t="str">
        <x:v>Setup Package</x:v>
      </x:c>
      <x:c r="G224" t="n">
        <x:v>7</x:v>
      </x:c>
      <x:c r="H224" s="40" t="n">
        <x:v>398.91</x:v>
      </x:c>
      <x:c r="I224" s="66" t="n">
        <x:v>0.15</x:v>
      </x:c>
      <x:c r="J224" s="40" t="n">
        <x:v>2373.51</x:v>
      </x:c>
      <x:c r="K224" s="40" t="n">
        <x:v>1120</x:v>
      </x:c>
      <x:c r="L224" s="40" t="n">
        <x:v>1253.51</x:v>
      </x:c>
    </x:row>
    <x:row r="225">
      <x:c r="A225" s="38" t="n">
        <x:v>46057</x:v>
      </x:c>
      <x:c r="B225" t="str">
        <x:v>2026-02</x:v>
      </x:c>
      <x:c r="C225" t="str">
        <x:v>Poland</x:v>
      </x:c>
      <x:c r="D225" t="str">
        <x:v>Elena</x:v>
      </x:c>
      <x:c r="E225" t="str">
        <x:v>Services</x:v>
      </x:c>
      <x:c r="F225" t="str">
        <x:v>Consulting 1h</x:v>
      </x:c>
      <x:c r="G225" t="n">
        <x:v>8</x:v>
      </x:c>
      <x:c r="H225" s="40" t="n">
        <x:v>161.42</x:v>
      </x:c>
      <x:c r="I225" s="66" t="n">
        <x:v>0.15</x:v>
      </x:c>
      <x:c r="J225" s="40" t="n">
        <x:v>1097.66</x:v>
      </x:c>
      <x:c r="K225" s="40" t="n">
        <x:v>440</x:v>
      </x:c>
      <x:c r="L225" s="40" t="n">
        <x:v>657.66</x:v>
      </x:c>
    </x:row>
    <x:row r="226">
      <x:c r="A226" s="38" t="n">
        <x:v>46052</x:v>
      </x:c>
      <x:c r="B226" t="str">
        <x:v>2026-01</x:v>
      </x:c>
      <x:c r="C226" t="str">
        <x:v>Lithuania</x:v>
      </x:c>
      <x:c r="D226" t="str">
        <x:v>Elena</x:v>
      </x:c>
      <x:c r="E226" t="str">
        <x:v>Digital</x:v>
      </x:c>
      <x:c r="F226" t="str">
        <x:v>Dashboard Template</x:v>
      </x:c>
      <x:c r="G226" t="n">
        <x:v>1</x:v>
      </x:c>
      <x:c r="H226" s="40" t="n">
        <x:v>67.06</x:v>
      </x:c>
      <x:c r="I226" s="66" t="n">
        <x:v>0.05</x:v>
      </x:c>
      <x:c r="J226" s="40" t="n">
        <x:v>63.71</x:v>
      </x:c>
      <x:c r="K226" s="40" t="n">
        <x:v>8</x:v>
      </x:c>
      <x:c r="L226" s="40" t="n">
        <x:v>55.71</x:v>
      </x:c>
    </x:row>
    <x:row r="227">
      <x:c r="A227" s="38" t="n">
        <x:v>46139</x:v>
      </x:c>
      <x:c r="B227" t="str">
        <x:v>2026-04</x:v>
      </x:c>
      <x:c r="C227" t="str">
        <x:v>Estonia</x:v>
      </x:c>
      <x:c r="D227" t="str">
        <x:v>Maria</x:v>
      </x:c>
      <x:c r="E227" t="str">
        <x:v>Digital</x:v>
      </x:c>
      <x:c r="F227" t="str">
        <x:v>Dashboard Template</x:v>
      </x:c>
      <x:c r="G227" t="n">
        <x:v>3</x:v>
      </x:c>
      <x:c r="H227" s="40" t="n">
        <x:v>62.9</x:v>
      </x:c>
      <x:c r="I227" s="66" t="n">
        <x:v>0.1</x:v>
      </x:c>
      <x:c r="J227" s="40" t="n">
        <x:v>169.83</x:v>
      </x:c>
      <x:c r="K227" s="40" t="n">
        <x:v>24</x:v>
      </x:c>
      <x:c r="L227" s="40" t="n">
        <x:v>145.83</x:v>
      </x:c>
    </x:row>
    <x:row r="228">
      <x:c r="A228" s="38" t="n">
        <x:v>46060</x:v>
      </x:c>
      <x:c r="B228" t="str">
        <x:v>2026-02</x:v>
      </x:c>
      <x:c r="C228" t="str">
        <x:v>Estonia</x:v>
      </x:c>
      <x:c r="D228" t="str">
        <x:v>Daria</x:v>
      </x:c>
      <x:c r="E228" t="str">
        <x:v>Subscription</x:v>
      </x:c>
      <x:c r="F228" t="str">
        <x:v>Starter Kit</x:v>
      </x:c>
      <x:c r="G228" t="n">
        <x:v>4</x:v>
      </x:c>
      <x:c r="H228" s="40" t="n">
        <x:v>44.2</x:v>
      </x:c>
      <x:c r="I228" s="66" t="n">
        <x:v>0.15</x:v>
      </x:c>
      <x:c r="J228" s="40" t="n">
        <x:v>150.28</x:v>
      </x:c>
      <x:c r="K228" s="40" t="n">
        <x:v>80</x:v>
      </x:c>
      <x:c r="L228" s="40" t="n">
        <x:v>70.28</x:v>
      </x:c>
    </x:row>
    <x:row r="229">
      <x:c r="A229" s="38" t="n">
        <x:v>46180</x:v>
      </x:c>
      <x:c r="B229" t="str">
        <x:v>2026-06</x:v>
      </x:c>
      <x:c r="C229" t="str">
        <x:v>Estonia</x:v>
      </x:c>
      <x:c r="D229" t="str">
        <x:v>Maria</x:v>
      </x:c>
      <x:c r="E229" t="str">
        <x:v>Subscription</x:v>
      </x:c>
      <x:c r="F229" t="str">
        <x:v>Pro Plan</x:v>
      </x:c>
      <x:c r="G229" t="n">
        <x:v>2</x:v>
      </x:c>
      <x:c r="H229" s="40" t="n">
        <x:v>137.81</x:v>
      </x:c>
      <x:c r="I229" s="66" t="n">
        <x:v>0.1</x:v>
      </x:c>
      <x:c r="J229" s="40" t="n">
        <x:v>248.06</x:v>
      </x:c>
      <x:c r="K229" s="40" t="n">
        <x:v>90</x:v>
      </x:c>
      <x:c r="L229" s="40" t="n">
        <x:v>158.06</x:v>
      </x:c>
    </x:row>
    <x:row r="230">
      <x:c r="A230" s="38" t="n">
        <x:v>46062</x:v>
      </x:c>
      <x:c r="B230" t="str">
        <x:v>2026-02</x:v>
      </x:c>
      <x:c r="C230" t="str">
        <x:v>Estonia</x:v>
      </x:c>
      <x:c r="D230" t="str">
        <x:v>Sofia</x:v>
      </x:c>
      <x:c r="E230" t="str">
        <x:v>Digital</x:v>
      </x:c>
      <x:c r="F230" t="str">
        <x:v>CRM Template</x:v>
      </x:c>
      <x:c r="G230" t="n">
        <x:v>4</x:v>
      </x:c>
      <x:c r="H230" s="40" t="n">
        <x:v>96.6</x:v>
      </x:c>
      <x:c r="I230" s="66" t="n">
        <x:v>0.15</x:v>
      </x:c>
      <x:c r="J230" s="40" t="n">
        <x:v>328.44</x:v>
      </x:c>
      <x:c r="K230" s="40" t="n">
        <x:v>40</x:v>
      </x:c>
      <x:c r="L230" s="40" t="n">
        <x:v>288.44</x:v>
      </x:c>
    </x:row>
    <x:row r="231">
      <x:c r="A231" s="38" t="n">
        <x:v>46061</x:v>
      </x:c>
      <x:c r="B231" t="str">
        <x:v>2026-02</x:v>
      </x:c>
      <x:c r="C231" t="str">
        <x:v>Finland</x:v>
      </x:c>
      <x:c r="D231" t="str">
        <x:v>Maria</x:v>
      </x:c>
      <x:c r="E231" t="str">
        <x:v>Education</x:v>
      </x:c>
      <x:c r="F231" t="str">
        <x:v>Training Session</x:v>
      </x:c>
      <x:c r="G231" t="n">
        <x:v>2</x:v>
      </x:c>
      <x:c r="H231" s="40" t="n">
        <x:v>211.46</x:v>
      </x:c>
      <x:c r="I231" s="66" t="n">
        <x:v>0.15</x:v>
      </x:c>
      <x:c r="J231" s="40" t="n">
        <x:v>359.48</x:v>
      </x:c>
      <x:c r="K231" s="40" t="n">
        <x:v>140</x:v>
      </x:c>
      <x:c r="L231" s="40" t="n">
        <x:v>219.48</x:v>
      </x:c>
    </x:row>
    <x:row r="232">
      <x:c r="A232" s="38" t="n">
        <x:v>46138</x:v>
      </x:c>
      <x:c r="B232" t="str">
        <x:v>2026-04</x:v>
      </x:c>
      <x:c r="C232" t="str">
        <x:v>Estonia</x:v>
      </x:c>
      <x:c r="D232" t="str">
        <x:v>Olga</x:v>
      </x:c>
      <x:c r="E232" t="str">
        <x:v>Subscription</x:v>
      </x:c>
      <x:c r="F232" t="str">
        <x:v>Starter Kit</x:v>
      </x:c>
      <x:c r="G232" t="n">
        <x:v>4</x:v>
      </x:c>
      <x:c r="H232" s="40" t="n">
        <x:v>44.78</x:v>
      </x:c>
      <x:c r="I232" s="66" t="n">
        <x:v>0.1</x:v>
      </x:c>
      <x:c r="J232" s="40" t="n">
        <x:v>161.21</x:v>
      </x:c>
      <x:c r="K232" s="40" t="n">
        <x:v>80</x:v>
      </x:c>
      <x:c r="L232" s="40" t="n">
        <x:v>81.21</x:v>
      </x:c>
    </x:row>
    <x:row r="233">
      <x:c r="A233" s="38" t="n">
        <x:v>46078</x:v>
      </x:c>
      <x:c r="B233" t="str">
        <x:v>2026-02</x:v>
      </x:c>
      <x:c r="C233" t="str">
        <x:v>Lithuania</x:v>
      </x:c>
      <x:c r="D233" t="str">
        <x:v>Maria</x:v>
      </x:c>
      <x:c r="E233" t="str">
        <x:v>Digital</x:v>
      </x:c>
      <x:c r="F233" t="str">
        <x:v>CRM Template</x:v>
      </x:c>
      <x:c r="G233" t="n">
        <x:v>7</x:v>
      </x:c>
      <x:c r="H233" s="40" t="n">
        <x:v>91.79</x:v>
      </x:c>
      <x:c r="I233" s="66" t="n">
        <x:v>0</x:v>
      </x:c>
      <x:c r="J233" s="40" t="n">
        <x:v>642.53</x:v>
      </x:c>
      <x:c r="K233" s="40" t="n">
        <x:v>70</x:v>
      </x:c>
      <x:c r="L233" s="40" t="n">
        <x:v>572.53</x:v>
      </x:c>
    </x:row>
    <x:row r="234">
      <x:c r="A234" s="38" t="n">
        <x:v>46158</x:v>
      </x:c>
      <x:c r="B234" t="str">
        <x:v>2026-05</x:v>
      </x:c>
      <x:c r="C234" t="str">
        <x:v>Poland</x:v>
      </x:c>
      <x:c r="D234" t="str">
        <x:v>Maria</x:v>
      </x:c>
      <x:c r="E234" t="str">
        <x:v>Education</x:v>
      </x:c>
      <x:c r="F234" t="str">
        <x:v>Training Session</x:v>
      </x:c>
      <x:c r="G234" t="n">
        <x:v>6</x:v>
      </x:c>
      <x:c r="H234" s="40" t="n">
        <x:v>210.48</x:v>
      </x:c>
      <x:c r="I234" s="66" t="n">
        <x:v>0.1</x:v>
      </x:c>
      <x:c r="J234" s="40" t="n">
        <x:v>1136.59</x:v>
      </x:c>
      <x:c r="K234" s="40" t="n">
        <x:v>420</x:v>
      </x:c>
      <x:c r="L234" s="40" t="n">
        <x:v>716.59</x:v>
      </x:c>
    </x:row>
    <x:row r="235">
      <x:c r="A235" s="38" t="n">
        <x:v>46075</x:v>
      </x:c>
      <x:c r="B235" t="str">
        <x:v>2026-02</x:v>
      </x:c>
      <x:c r="C235" t="str">
        <x:v>Estonia</x:v>
      </x:c>
      <x:c r="D235" t="str">
        <x:v>Elena</x:v>
      </x:c>
      <x:c r="E235" t="str">
        <x:v>Education</x:v>
      </x:c>
      <x:c r="F235" t="str">
        <x:v>Training Session</x:v>
      </x:c>
      <x:c r="G235" t="n">
        <x:v>6</x:v>
      </x:c>
      <x:c r="H235" s="40" t="n">
        <x:v>229.37</x:v>
      </x:c>
      <x:c r="I235" s="66" t="n">
        <x:v>0.05</x:v>
      </x:c>
      <x:c r="J235" s="40" t="n">
        <x:v>1307.41</x:v>
      </x:c>
      <x:c r="K235" s="40" t="n">
        <x:v>420</x:v>
      </x:c>
      <x:c r="L235" s="40" t="n">
        <x:v>887.41</x:v>
      </x:c>
    </x:row>
    <x:row r="236">
      <x:c r="A236" s="38" t="n">
        <x:v>46059</x:v>
      </x:c>
      <x:c r="B236" t="str">
        <x:v>2026-02</x:v>
      </x:c>
      <x:c r="C236" t="str">
        <x:v>Finland</x:v>
      </x:c>
      <x:c r="D236" t="str">
        <x:v>Olga</x:v>
      </x:c>
      <x:c r="E236" t="str">
        <x:v>Digital</x:v>
      </x:c>
      <x:c r="F236" t="str">
        <x:v>Dashboard Template</x:v>
      </x:c>
      <x:c r="G236" t="n">
        <x:v>5</x:v>
      </x:c>
      <x:c r="H236" s="40" t="n">
        <x:v>74.09</x:v>
      </x:c>
      <x:c r="I236" s="66" t="n">
        <x:v>0.05</x:v>
      </x:c>
      <x:c r="J236" s="40" t="n">
        <x:v>351.93</x:v>
      </x:c>
      <x:c r="K236" s="40" t="n">
        <x:v>40</x:v>
      </x:c>
      <x:c r="L236" s="40" t="n">
        <x:v>311.93</x:v>
      </x:c>
    </x:row>
    <x:row r="237">
      <x:c r="A237" s="38" t="n">
        <x:v>46109</x:v>
      </x:c>
      <x:c r="B237" t="str">
        <x:v>2026-03</x:v>
      </x:c>
      <x:c r="C237" t="str">
        <x:v>Finland</x:v>
      </x:c>
      <x:c r="D237" t="str">
        <x:v>Maria</x:v>
      </x:c>
      <x:c r="E237" t="str">
        <x:v>Subscription</x:v>
      </x:c>
      <x:c r="F237" t="str">
        <x:v>Starter Kit</x:v>
      </x:c>
      <x:c r="G237" t="n">
        <x:v>7</x:v>
      </x:c>
      <x:c r="H237" s="40" t="n">
        <x:v>52.61</x:v>
      </x:c>
      <x:c r="I237" s="66" t="n">
        <x:v>0.05</x:v>
      </x:c>
      <x:c r="J237" s="40" t="n">
        <x:v>349.86</x:v>
      </x:c>
      <x:c r="K237" s="40" t="n">
        <x:v>140</x:v>
      </x:c>
      <x:c r="L237" s="40" t="n">
        <x:v>209.86</x:v>
      </x:c>
    </x:row>
    <x:row r="238">
      <x:c r="A238" s="38" t="n">
        <x:v>46140</x:v>
      </x:c>
      <x:c r="B238" t="str">
        <x:v>2026-04</x:v>
      </x:c>
      <x:c r="C238" t="str">
        <x:v>Estonia</x:v>
      </x:c>
      <x:c r="D238" t="str">
        <x:v>Anna</x:v>
      </x:c>
      <x:c r="E238" t="str">
        <x:v>Subscription</x:v>
      </x:c>
      <x:c r="F238" t="str">
        <x:v>Starter Kit</x:v>
      </x:c>
      <x:c r="G238" t="n">
        <x:v>8</x:v>
      </x:c>
      <x:c r="H238" s="40" t="n">
        <x:v>44.71</x:v>
      </x:c>
      <x:c r="I238" s="66" t="n">
        <x:v>0.05</x:v>
      </x:c>
      <x:c r="J238" s="40" t="n">
        <x:v>339.8</x:v>
      </x:c>
      <x:c r="K238" s="40" t="n">
        <x:v>160</x:v>
      </x:c>
      <x:c r="L238" s="40" t="n">
        <x:v>179.8</x:v>
      </x:c>
    </x:row>
    <x:row r="239">
      <x:c r="A239" s="38" t="n">
        <x:v>46088</x:v>
      </x:c>
      <x:c r="B239" t="str">
        <x:v>2026-03</x:v>
      </x:c>
      <x:c r="C239" t="str">
        <x:v>Finland</x:v>
      </x:c>
      <x:c r="D239" t="str">
        <x:v>Anna</x:v>
      </x:c>
      <x:c r="E239" t="str">
        <x:v>Services</x:v>
      </x:c>
      <x:c r="F239" t="str">
        <x:v>Setup Package</x:v>
      </x:c>
      <x:c r="G239" t="n">
        <x:v>5</x:v>
      </x:c>
      <x:c r="H239" s="40" t="n">
        <x:v>358.01</x:v>
      </x:c>
      <x:c r="I239" s="66" t="n">
        <x:v>0</x:v>
      </x:c>
      <x:c r="J239" s="40" t="n">
        <x:v>1790.05</x:v>
      </x:c>
      <x:c r="K239" s="40" t="n">
        <x:v>800</x:v>
      </x:c>
      <x:c r="L239" s="40" t="n">
        <x:v>990.05</x:v>
      </x:c>
    </x:row>
    <x:row r="240">
      <x:c r="A240" s="38" t="n">
        <x:v>46152</x:v>
      </x:c>
      <x:c r="B240" t="str">
        <x:v>2026-05</x:v>
      </x:c>
      <x:c r="C240" t="str">
        <x:v>Lithuania</x:v>
      </x:c>
      <x:c r="D240" t="str">
        <x:v>Anna</x:v>
      </x:c>
      <x:c r="E240" t="str">
        <x:v>Education</x:v>
      </x:c>
      <x:c r="F240" t="str">
        <x:v>Training Session</x:v>
      </x:c>
      <x:c r="G240" t="n">
        <x:v>7</x:v>
      </x:c>
      <x:c r="H240" s="40" t="n">
        <x:v>228.39</x:v>
      </x:c>
      <x:c r="I240" s="66" t="n">
        <x:v>0</x:v>
      </x:c>
      <x:c r="J240" s="40" t="n">
        <x:v>1598.73</x:v>
      </x:c>
      <x:c r="K240" s="40" t="n">
        <x:v>490</x:v>
      </x:c>
      <x:c r="L240" s="40" t="n">
        <x:v>1108.73</x:v>
      </x:c>
    </x:row>
    <x:row r="241">
      <x:c r="A241" s="38" t="n">
        <x:v>46118</x:v>
      </x:c>
      <x:c r="B241" t="str">
        <x:v>2026-04</x:v>
      </x:c>
      <x:c r="C241" t="str">
        <x:v>Poland</x:v>
      </x:c>
      <x:c r="D241" t="str">
        <x:v>Elena</x:v>
      </x:c>
      <x:c r="E241" t="str">
        <x:v>Subscription</x:v>
      </x:c>
      <x:c r="F241" t="str">
        <x:v>Starter Kit</x:v>
      </x:c>
      <x:c r="G241" t="n">
        <x:v>1</x:v>
      </x:c>
      <x:c r="H241" s="40" t="n">
        <x:v>53.57</x:v>
      </x:c>
      <x:c r="I241" s="66" t="n">
        <x:v>0.1</x:v>
      </x:c>
      <x:c r="J241" s="40" t="n">
        <x:v>48.21</x:v>
      </x:c>
      <x:c r="K241" s="40" t="n">
        <x:v>20</x:v>
      </x:c>
      <x:c r="L241" s="40" t="n">
        <x:v>28.21</x:v>
      </x:c>
    </x:row>
    <x:row r="242">
      <x:c r="A242" s="38" t="n">
        <x:v>46113</x:v>
      </x:c>
      <x:c r="B242" t="str">
        <x:v>2026-04</x:v>
      </x:c>
      <x:c r="C242" t="str">
        <x:v>Poland</x:v>
      </x:c>
      <x:c r="D242" t="str">
        <x:v>Olga</x:v>
      </x:c>
      <x:c r="E242" t="str">
        <x:v>Digital</x:v>
      </x:c>
      <x:c r="F242" t="str">
        <x:v>CRM Template</x:v>
      </x:c>
      <x:c r="G242" t="n">
        <x:v>3</x:v>
      </x:c>
      <x:c r="H242" s="40" t="n">
        <x:v>97.63</x:v>
      </x:c>
      <x:c r="I242" s="66" t="n">
        <x:v>0.1</x:v>
      </x:c>
      <x:c r="J242" s="40" t="n">
        <x:v>263.6</x:v>
      </x:c>
      <x:c r="K242" s="40" t="n">
        <x:v>30</x:v>
      </x:c>
      <x:c r="L242" s="40" t="n">
        <x:v>233.6</x:v>
      </x:c>
    </x:row>
    <x:row r="243">
      <x:c r="A243" s="38" t="n">
        <x:v>46069</x:v>
      </x:c>
      <x:c r="B243" t="str">
        <x:v>2026-02</x:v>
      </x:c>
      <x:c r="C243" t="str">
        <x:v>Lithuania</x:v>
      </x:c>
      <x:c r="D243" t="str">
        <x:v>Elena</x:v>
      </x:c>
      <x:c r="E243" t="str">
        <x:v>Subscription</x:v>
      </x:c>
      <x:c r="F243" t="str">
        <x:v>Starter Kit</x:v>
      </x:c>
      <x:c r="G243" t="n">
        <x:v>5</x:v>
      </x:c>
      <x:c r="H243" s="40" t="n">
        <x:v>46.73</x:v>
      </x:c>
      <x:c r="I243" s="66" t="n">
        <x:v>0.1</x:v>
      </x:c>
      <x:c r="J243" s="40" t="n">
        <x:v>210.28</x:v>
      </x:c>
      <x:c r="K243" s="40" t="n">
        <x:v>100</x:v>
      </x:c>
      <x:c r="L243" s="40" t="n">
        <x:v>110.28</x:v>
      </x:c>
    </x:row>
    <x:row r="244">
      <x:c r="A244" s="38" t="n">
        <x:v>46068</x:v>
      </x:c>
      <x:c r="B244" t="str">
        <x:v>2026-02</x:v>
      </x:c>
      <x:c r="C244" t="str">
        <x:v>Poland</x:v>
      </x:c>
      <x:c r="D244" t="str">
        <x:v>Olga</x:v>
      </x:c>
      <x:c r="E244" t="str">
        <x:v>Subscription</x:v>
      </x:c>
      <x:c r="F244" t="str">
        <x:v>Pro Plan</x:v>
      </x:c>
      <x:c r="G244" t="n">
        <x:v>6</x:v>
      </x:c>
      <x:c r="H244" s="40" t="n">
        <x:v>126.47</x:v>
      </x:c>
      <x:c r="I244" s="66" t="n">
        <x:v>0.05</x:v>
      </x:c>
      <x:c r="J244" s="40" t="n">
        <x:v>720.88</x:v>
      </x:c>
      <x:c r="K244" s="40" t="n">
        <x:v>270</x:v>
      </x:c>
      <x:c r="L244" s="40" t="n">
        <x:v>450.88</x:v>
      </x:c>
    </x:row>
    <x:row r="245">
      <x:c r="A245" s="38" t="n">
        <x:v>46061</x:v>
      </x:c>
      <x:c r="B245" t="str">
        <x:v>2026-02</x:v>
      </x:c>
      <x:c r="C245" t="str">
        <x:v>Finland</x:v>
      </x:c>
      <x:c r="D245" t="str">
        <x:v>Daria</x:v>
      </x:c>
      <x:c r="E245" t="str">
        <x:v>Subscription</x:v>
      </x:c>
      <x:c r="F245" t="str">
        <x:v>Pro Plan</x:v>
      </x:c>
      <x:c r="G245" t="n">
        <x:v>2</x:v>
      </x:c>
      <x:c r="H245" s="40" t="n">
        <x:v>127.33</x:v>
      </x:c>
      <x:c r="I245" s="66" t="n">
        <x:v>0.1</x:v>
      </x:c>
      <x:c r="J245" s="40" t="n">
        <x:v>229.19</x:v>
      </x:c>
      <x:c r="K245" s="40" t="n">
        <x:v>90</x:v>
      </x:c>
      <x:c r="L245" s="40" t="n">
        <x:v>139.19</x:v>
      </x:c>
    </x:row>
    <x:row r="246">
      <x:c r="A246" s="38" t="n">
        <x:v>46023</x:v>
      </x:c>
      <x:c r="B246" t="str">
        <x:v>2026-01</x:v>
      </x:c>
      <x:c r="C246" t="str">
        <x:v>Lithuania</x:v>
      </x:c>
      <x:c r="D246" t="str">
        <x:v>Maria</x:v>
      </x:c>
      <x:c r="E246" t="str">
        <x:v>Digital</x:v>
      </x:c>
      <x:c r="F246" t="str">
        <x:v>CRM Template</x:v>
      </x:c>
      <x:c r="G246" t="n">
        <x:v>7</x:v>
      </x:c>
      <x:c r="H246" s="40" t="n">
        <x:v>97.81</x:v>
      </x:c>
      <x:c r="I246" s="66" t="n">
        <x:v>0</x:v>
      </x:c>
      <x:c r="J246" s="40" t="n">
        <x:v>684.67</x:v>
      </x:c>
      <x:c r="K246" s="40" t="n">
        <x:v>70</x:v>
      </x:c>
      <x:c r="L246" s="40" t="n">
        <x:v>614.67</x:v>
      </x:c>
    </x:row>
    <x:row r="247">
      <x:c r="A247" s="38" t="n">
        <x:v>46112</x:v>
      </x:c>
      <x:c r="B247" t="str">
        <x:v>2026-03</x:v>
      </x:c>
      <x:c r="C247" t="str">
        <x:v>Estonia</x:v>
      </x:c>
      <x:c r="D247" t="str">
        <x:v>Elena</x:v>
      </x:c>
      <x:c r="E247" t="str">
        <x:v>Digital</x:v>
      </x:c>
      <x:c r="F247" t="str">
        <x:v>CRM Template</x:v>
      </x:c>
      <x:c r="G247" t="n">
        <x:v>1</x:v>
      </x:c>
      <x:c r="H247" s="40" t="n">
        <x:v>92.44</x:v>
      </x:c>
      <x:c r="I247" s="66" t="n">
        <x:v>0</x:v>
      </x:c>
      <x:c r="J247" s="40" t="n">
        <x:v>92.44</x:v>
      </x:c>
      <x:c r="K247" s="40" t="n">
        <x:v>10</x:v>
      </x:c>
      <x:c r="L247" s="40" t="n">
        <x:v>82.44</x:v>
      </x:c>
    </x:row>
    <x:row r="248">
      <x:c r="A248" s="38" t="n">
        <x:v>46058</x:v>
      </x:c>
      <x:c r="B248" t="str">
        <x:v>2026-02</x:v>
      </x:c>
      <x:c r="C248" t="str">
        <x:v>Estonia</x:v>
      </x:c>
      <x:c r="D248" t="str">
        <x:v>Daria</x:v>
      </x:c>
      <x:c r="E248" t="str">
        <x:v>Digital</x:v>
      </x:c>
      <x:c r="F248" t="str">
        <x:v>CRM Template</x:v>
      </x:c>
      <x:c r="G248" t="n">
        <x:v>1</x:v>
      </x:c>
      <x:c r="H248" s="40" t="n">
        <x:v>93.98</x:v>
      </x:c>
      <x:c r="I248" s="66" t="n">
        <x:v>0</x:v>
      </x:c>
      <x:c r="J248" s="40" t="n">
        <x:v>93.98</x:v>
      </x:c>
      <x:c r="K248" s="40" t="n">
        <x:v>10</x:v>
      </x:c>
      <x:c r="L248" s="40" t="n">
        <x:v>83.98</x:v>
      </x:c>
    </x:row>
    <x:row r="249">
      <x:c r="A249" s="38" t="n">
        <x:v>46095</x:v>
      </x:c>
      <x:c r="B249" t="str">
        <x:v>2026-03</x:v>
      </x:c>
      <x:c r="C249" t="str">
        <x:v>Lithuania</x:v>
      </x:c>
      <x:c r="D249" t="str">
        <x:v>Anna</x:v>
      </x:c>
      <x:c r="E249" t="str">
        <x:v>Services</x:v>
      </x:c>
      <x:c r="F249" t="str">
        <x:v>Setup Package</x:v>
      </x:c>
      <x:c r="G249" t="n">
        <x:v>3</x:v>
      </x:c>
      <x:c r="H249" s="40" t="n">
        <x:v>426.13</x:v>
      </x:c>
      <x:c r="I249" s="66" t="n">
        <x:v>0.05</x:v>
      </x:c>
      <x:c r="J249" s="40" t="n">
        <x:v>1214.47</x:v>
      </x:c>
      <x:c r="K249" s="40" t="n">
        <x:v>480</x:v>
      </x:c>
      <x:c r="L249" s="40" t="n">
        <x:v>734.47</x:v>
      </x:c>
    </x:row>
    <x:row r="250">
      <x:c r="A250" s="38" t="n">
        <x:v>46075</x:v>
      </x:c>
      <x:c r="B250" t="str">
        <x:v>2026-02</x:v>
      </x:c>
      <x:c r="C250" t="str">
        <x:v>Estonia</x:v>
      </x:c>
      <x:c r="D250" t="str">
        <x:v>Sofia</x:v>
      </x:c>
      <x:c r="E250" t="str">
        <x:v>Digital</x:v>
      </x:c>
      <x:c r="F250" t="str">
        <x:v>Dashboard Template</x:v>
      </x:c>
      <x:c r="G250" t="n">
        <x:v>2</x:v>
      </x:c>
      <x:c r="H250" s="40" t="n">
        <x:v>77.18</x:v>
      </x:c>
      <x:c r="I250" s="66" t="n">
        <x:v>0.05</x:v>
      </x:c>
      <x:c r="J250" s="40" t="n">
        <x:v>146.64</x:v>
      </x:c>
      <x:c r="K250" s="40" t="n">
        <x:v>16</x:v>
      </x:c>
      <x:c r="L250" s="40" t="n">
        <x:v>130.64</x:v>
      </x:c>
    </x:row>
    <x:row r="251">
      <x:c r="A251" s="38" t="n">
        <x:v>46142</x:v>
      </x:c>
      <x:c r="B251" t="str">
        <x:v>2026-04</x:v>
      </x:c>
      <x:c r="C251" t="str">
        <x:v>Lithuania</x:v>
      </x:c>
      <x:c r="D251" t="str">
        <x:v>Elena</x:v>
      </x:c>
      <x:c r="E251" t="str">
        <x:v>Education</x:v>
      </x:c>
      <x:c r="F251" t="str">
        <x:v>Training Session</x:v>
      </x:c>
      <x:c r="G251" t="n">
        <x:v>6</x:v>
      </x:c>
      <x:c r="H251" s="40" t="n">
        <x:v>224.64</x:v>
      </x:c>
      <x:c r="I251" s="66" t="n">
        <x:v>0.05</x:v>
      </x:c>
      <x:c r="J251" s="40" t="n">
        <x:v>1280.45</x:v>
      </x:c>
      <x:c r="K251" s="40" t="n">
        <x:v>420</x:v>
      </x:c>
      <x:c r="L251" s="40" t="n">
        <x:v>860.45</x:v>
      </x:c>
    </x:row>
    <x:row r="252">
      <x:c r="A252" s="38" t="n">
        <x:v>46118</x:v>
      </x:c>
      <x:c r="B252" t="str">
        <x:v>2026-04</x:v>
      </x:c>
      <x:c r="C252" t="str">
        <x:v>Finland</x:v>
      </x:c>
      <x:c r="D252" t="str">
        <x:v>Anna</x:v>
      </x:c>
      <x:c r="E252" t="str">
        <x:v>Subscription</x:v>
      </x:c>
      <x:c r="F252" t="str">
        <x:v>Pro Plan</x:v>
      </x:c>
      <x:c r="G252" t="n">
        <x:v>1</x:v>
      </x:c>
      <x:c r="H252" s="40" t="n">
        <x:v>116.78</x:v>
      </x:c>
      <x:c r="I252" s="66" t="n">
        <x:v>0.15</x:v>
      </x:c>
      <x:c r="J252" s="40" t="n">
        <x:v>99.26</x:v>
      </x:c>
      <x:c r="K252" s="40" t="n">
        <x:v>45</x:v>
      </x:c>
      <x:c r="L252" s="40" t="n">
        <x:v>54.26</x:v>
      </x:c>
    </x:row>
    <x:row r="253">
      <x:c r="A253" s="38" t="n">
        <x:v>46098</x:v>
      </x:c>
      <x:c r="B253" t="str">
        <x:v>2026-03</x:v>
      </x:c>
      <x:c r="C253" t="str">
        <x:v>Finland</x:v>
      </x:c>
      <x:c r="D253" t="str">
        <x:v>Daria</x:v>
      </x:c>
      <x:c r="E253" t="str">
        <x:v>Services</x:v>
      </x:c>
      <x:c r="F253" t="str">
        <x:v>Consulting 1h</x:v>
      </x:c>
      <x:c r="G253" t="n">
        <x:v>1</x:v>
      </x:c>
      <x:c r="H253" s="40" t="n">
        <x:v>142.36</x:v>
      </x:c>
      <x:c r="I253" s="66" t="n">
        <x:v>0</x:v>
      </x:c>
      <x:c r="J253" s="40" t="n">
        <x:v>142.36</x:v>
      </x:c>
      <x:c r="K253" s="40" t="n">
        <x:v>55</x:v>
      </x:c>
      <x:c r="L253" s="40" t="n">
        <x:v>87.36</x:v>
      </x:c>
    </x:row>
    <x:row r="254">
      <x:c r="A254" s="38" t="n">
        <x:v>46139</x:v>
      </x:c>
      <x:c r="B254" t="str">
        <x:v>2026-04</x:v>
      </x:c>
      <x:c r="C254" t="str">
        <x:v>Finland</x:v>
      </x:c>
      <x:c r="D254" t="str">
        <x:v>Anna</x:v>
      </x:c>
      <x:c r="E254" t="str">
        <x:v>Subscription</x:v>
      </x:c>
      <x:c r="F254" t="str">
        <x:v>Starter Kit</x:v>
      </x:c>
      <x:c r="G254" t="n">
        <x:v>8</x:v>
      </x:c>
      <x:c r="H254" s="40" t="n">
        <x:v>49.65</x:v>
      </x:c>
      <x:c r="I254" s="66" t="n">
        <x:v>0</x:v>
      </x:c>
      <x:c r="J254" s="40" t="n">
        <x:v>397.2</x:v>
      </x:c>
      <x:c r="K254" s="40" t="n">
        <x:v>160</x:v>
      </x:c>
      <x:c r="L254" s="40" t="n">
        <x:v>237.2</x:v>
      </x:c>
    </x:row>
    <x:row r="255">
      <x:c r="A255" s="38" t="n">
        <x:v>46104</x:v>
      </x:c>
      <x:c r="B255" t="str">
        <x:v>2026-03</x:v>
      </x:c>
      <x:c r="C255" t="str">
        <x:v>Estonia</x:v>
      </x:c>
      <x:c r="D255" t="str">
        <x:v>Anna</x:v>
      </x:c>
      <x:c r="E255" t="str">
        <x:v>Services</x:v>
      </x:c>
      <x:c r="F255" t="str">
        <x:v>Setup Package</x:v>
      </x:c>
      <x:c r="G255" t="n">
        <x:v>5</x:v>
      </x:c>
      <x:c r="H255" s="40" t="n">
        <x:v>377.56</x:v>
      </x:c>
      <x:c r="I255" s="66" t="n">
        <x:v>0.15</x:v>
      </x:c>
      <x:c r="J255" s="40" t="n">
        <x:v>1604.63</x:v>
      </x:c>
      <x:c r="K255" s="40" t="n">
        <x:v>800</x:v>
      </x:c>
      <x:c r="L255" s="40" t="n">
        <x:v>804.63</x:v>
      </x:c>
    </x:row>
    <x:row r="256">
      <x:c r="A256" s="38" t="n">
        <x:v>46047</x:v>
      </x:c>
      <x:c r="B256" t="str">
        <x:v>2026-01</x:v>
      </x:c>
      <x:c r="C256" t="str">
        <x:v>Lithuania</x:v>
      </x:c>
      <x:c r="D256" t="str">
        <x:v>Elena</x:v>
      </x:c>
      <x:c r="E256" t="str">
        <x:v>Services</x:v>
      </x:c>
      <x:c r="F256" t="str">
        <x:v>Setup Package</x:v>
      </x:c>
      <x:c r="G256" t="n">
        <x:v>5</x:v>
      </x:c>
      <x:c r="H256" s="40" t="n">
        <x:v>390.88</x:v>
      </x:c>
      <x:c r="I256" s="66" t="n">
        <x:v>0.15</x:v>
      </x:c>
      <x:c r="J256" s="40" t="n">
        <x:v>1661.24</x:v>
      </x:c>
      <x:c r="K256" s="40" t="n">
        <x:v>800</x:v>
      </x:c>
      <x:c r="L256" s="40" t="n">
        <x:v>861.24</x:v>
      </x:c>
    </x:row>
    <x:row r="257">
      <x:c r="A257" s="38" t="n">
        <x:v>46166</x:v>
      </x:c>
      <x:c r="B257" t="str">
        <x:v>2026-05</x:v>
      </x:c>
      <x:c r="C257" t="str">
        <x:v>Finland</x:v>
      </x:c>
      <x:c r="D257" t="str">
        <x:v>Anna</x:v>
      </x:c>
      <x:c r="E257" t="str">
        <x:v>Services</x:v>
      </x:c>
      <x:c r="F257" t="str">
        <x:v>Setup Package</x:v>
      </x:c>
      <x:c r="G257" t="n">
        <x:v>6</x:v>
      </x:c>
      <x:c r="H257" s="40" t="n">
        <x:v>353.08</x:v>
      </x:c>
      <x:c r="I257" s="66" t="n">
        <x:v>0.05</x:v>
      </x:c>
      <x:c r="J257" s="40" t="n">
        <x:v>2012.56</x:v>
      </x:c>
      <x:c r="K257" s="40" t="n">
        <x:v>960</x:v>
      </x:c>
      <x:c r="L257" s="40" t="n">
        <x:v>1052.56</x:v>
      </x:c>
    </x:row>
    <x:row r="258">
      <x:c r="A258" s="38" t="n">
        <x:v>46048</x:v>
      </x:c>
      <x:c r="B258" t="str">
        <x:v>2026-01</x:v>
      </x:c>
      <x:c r="C258" t="str">
        <x:v>Estonia</x:v>
      </x:c>
      <x:c r="D258" t="str">
        <x:v>Sofia</x:v>
      </x:c>
      <x:c r="E258" t="str">
        <x:v>Services</x:v>
      </x:c>
      <x:c r="F258" t="str">
        <x:v>Consulting 1h</x:v>
      </x:c>
      <x:c r="G258" t="n">
        <x:v>7</x:v>
      </x:c>
      <x:c r="H258" s="40" t="n">
        <x:v>165.89</x:v>
      </x:c>
      <x:c r="I258" s="66" t="n">
        <x:v>0.1</x:v>
      </x:c>
      <x:c r="J258" s="40" t="n">
        <x:v>1045.11</x:v>
      </x:c>
      <x:c r="K258" s="40" t="n">
        <x:v>385</x:v>
      </x:c>
      <x:c r="L258" s="40" t="n">
        <x:v>660.11</x:v>
      </x:c>
    </x:row>
    <x:row r="259">
      <x:c r="A259" s="38" t="n">
        <x:v>46193</x:v>
      </x:c>
      <x:c r="B259" t="str">
        <x:v>2026-06</x:v>
      </x:c>
      <x:c r="C259" t="str">
        <x:v>Estonia</x:v>
      </x:c>
      <x:c r="D259" t="str">
        <x:v>Daria</x:v>
      </x:c>
      <x:c r="E259" t="str">
        <x:v>Subscription</x:v>
      </x:c>
      <x:c r="F259" t="str">
        <x:v>Starter Kit</x:v>
      </x:c>
      <x:c r="G259" t="n">
        <x:v>2</x:v>
      </x:c>
      <x:c r="H259" s="40" t="n">
        <x:v>54.72</x:v>
      </x:c>
      <x:c r="I259" s="66" t="n">
        <x:v>0.1</x:v>
      </x:c>
      <x:c r="J259" s="40" t="n">
        <x:v>98.5</x:v>
      </x:c>
      <x:c r="K259" s="40" t="n">
        <x:v>40</x:v>
      </x:c>
      <x:c r="L259" s="40" t="n">
        <x:v>58.5</x:v>
      </x:c>
    </x:row>
    <x:row r="260">
      <x:c r="A260" s="38" t="n">
        <x:v>46045</x:v>
      </x:c>
      <x:c r="B260" t="str">
        <x:v>2026-01</x:v>
      </x:c>
      <x:c r="C260" t="str">
        <x:v>Finland</x:v>
      </x:c>
      <x:c r="D260" t="str">
        <x:v>Daria</x:v>
      </x:c>
      <x:c r="E260" t="str">
        <x:v>Services</x:v>
      </x:c>
      <x:c r="F260" t="str">
        <x:v>Setup Package</x:v>
      </x:c>
      <x:c r="G260" t="n">
        <x:v>8</x:v>
      </x:c>
      <x:c r="H260" s="40" t="n">
        <x:v>351.58</x:v>
      </x:c>
      <x:c r="I260" s="66" t="n">
        <x:v>0.15</x:v>
      </x:c>
      <x:c r="J260" s="40" t="n">
        <x:v>2390.74</x:v>
      </x:c>
      <x:c r="K260" s="40" t="n">
        <x:v>1280</x:v>
      </x:c>
      <x:c r="L260" s="40" t="n">
        <x:v>1110.74</x:v>
      </x:c>
    </x:row>
    <x:row r="261">
      <x:c r="A261" s="38" t="n">
        <x:v>46184</x:v>
      </x:c>
      <x:c r="B261" t="str">
        <x:v>2026-06</x:v>
      </x:c>
      <x:c r="C261" t="str">
        <x:v>Estonia</x:v>
      </x:c>
      <x:c r="D261" t="str">
        <x:v>Anna</x:v>
      </x:c>
      <x:c r="E261" t="str">
        <x:v>Subscription</x:v>
      </x:c>
      <x:c r="F261" t="str">
        <x:v>Starter Kit</x:v>
      </x:c>
      <x:c r="G261" t="n">
        <x:v>4</x:v>
      </x:c>
      <x:c r="H261" s="40" t="n">
        <x:v>50.03</x:v>
      </x:c>
      <x:c r="I261" s="66" t="n">
        <x:v>0</x:v>
      </x:c>
      <x:c r="J261" s="40" t="n">
        <x:v>200.12</x:v>
      </x:c>
      <x:c r="K261" s="40" t="n">
        <x:v>80</x:v>
      </x:c>
      <x:c r="L261" s="40" t="n">
        <x:v>120.12</x:v>
      </x:c>
    </x:row>
    <x:row r="262">
      <x:c r="A262" s="38" t="n">
        <x:v>46033</x:v>
      </x:c>
      <x:c r="B262" t="str">
        <x:v>2026-01</x:v>
      </x:c>
      <x:c r="C262" t="str">
        <x:v>Finland</x:v>
      </x:c>
      <x:c r="D262" t="str">
        <x:v>Maria</x:v>
      </x:c>
      <x:c r="E262" t="str">
        <x:v>Subscription</x:v>
      </x:c>
      <x:c r="F262" t="str">
        <x:v>Pro Plan</x:v>
      </x:c>
      <x:c r="G262" t="n">
        <x:v>6</x:v>
      </x:c>
      <x:c r="H262" s="40" t="n">
        <x:v>135.85</x:v>
      </x:c>
      <x:c r="I262" s="66" t="n">
        <x:v>0.15</x:v>
      </x:c>
      <x:c r="J262" s="40" t="n">
        <x:v>692.83</x:v>
      </x:c>
      <x:c r="K262" s="40" t="n">
        <x:v>270</x:v>
      </x:c>
      <x:c r="L262" s="40" t="n">
        <x:v>422.83</x:v>
      </x:c>
    </x:row>
    <x:row r="263">
      <x:c r="A263" s="38" t="n">
        <x:v>46198</x:v>
      </x:c>
      <x:c r="B263" t="str">
        <x:v>2026-06</x:v>
      </x:c>
      <x:c r="C263" t="str">
        <x:v>Latvia</x:v>
      </x:c>
      <x:c r="D263" t="str">
        <x:v>Sofia</x:v>
      </x:c>
      <x:c r="E263" t="str">
        <x:v>Subscription</x:v>
      </x:c>
      <x:c r="F263" t="str">
        <x:v>Pro Plan</x:v>
      </x:c>
      <x:c r="G263" t="n">
        <x:v>3</x:v>
      </x:c>
      <x:c r="H263" s="40" t="n">
        <x:v>139.63</x:v>
      </x:c>
      <x:c r="I263" s="66" t="n">
        <x:v>0</x:v>
      </x:c>
      <x:c r="J263" s="40" t="n">
        <x:v>418.89</x:v>
      </x:c>
      <x:c r="K263" s="40" t="n">
        <x:v>135</x:v>
      </x:c>
      <x:c r="L263" s="40" t="n">
        <x:v>283.89</x:v>
      </x:c>
    </x:row>
    <x:row r="264">
      <x:c r="A264" s="38" t="n">
        <x:v>46180</x:v>
      </x:c>
      <x:c r="B264" t="str">
        <x:v>2026-06</x:v>
      </x:c>
      <x:c r="C264" t="str">
        <x:v>Poland</x:v>
      </x:c>
      <x:c r="D264" t="str">
        <x:v>Daria</x:v>
      </x:c>
      <x:c r="E264" t="str">
        <x:v>Education</x:v>
      </x:c>
      <x:c r="F264" t="str">
        <x:v>Training Session</x:v>
      </x:c>
      <x:c r="G264" t="n">
        <x:v>1</x:v>
      </x:c>
      <x:c r="H264" s="40" t="n">
        <x:v>238.03</x:v>
      </x:c>
      <x:c r="I264" s="66" t="n">
        <x:v>0</x:v>
      </x:c>
      <x:c r="J264" s="40" t="n">
        <x:v>238.03</x:v>
      </x:c>
      <x:c r="K264" s="40" t="n">
        <x:v>70</x:v>
      </x:c>
      <x:c r="L264" s="40" t="n">
        <x:v>168.03</x:v>
      </x:c>
    </x:row>
    <x:row r="265">
      <x:c r="A265" s="38" t="n">
        <x:v>46173</x:v>
      </x:c>
      <x:c r="B265" t="str">
        <x:v>2026-05</x:v>
      </x:c>
      <x:c r="C265" t="str">
        <x:v>Finland</x:v>
      </x:c>
      <x:c r="D265" t="str">
        <x:v>Sofia</x:v>
      </x:c>
      <x:c r="E265" t="str">
        <x:v>Subscription</x:v>
      </x:c>
      <x:c r="F265" t="str">
        <x:v>Pro Plan</x:v>
      </x:c>
      <x:c r="G265" t="n">
        <x:v>7</x:v>
      </x:c>
      <x:c r="H265" s="40" t="n">
        <x:v>126.04</x:v>
      </x:c>
      <x:c r="I265" s="66" t="n">
        <x:v>0.05</x:v>
      </x:c>
      <x:c r="J265" s="40" t="n">
        <x:v>838.17</x:v>
      </x:c>
      <x:c r="K265" s="40" t="n">
        <x:v>315</x:v>
      </x:c>
      <x:c r="L265" s="40" t="n">
        <x:v>523.17</x:v>
      </x:c>
    </x:row>
    <x:row r="266">
      <x:c r="A266" s="38" t="n">
        <x:v>46040</x:v>
      </x:c>
      <x:c r="B266" t="str">
        <x:v>2026-01</x:v>
      </x:c>
      <x:c r="C266" t="str">
        <x:v>Poland</x:v>
      </x:c>
      <x:c r="D266" t="str">
        <x:v>Anna</x:v>
      </x:c>
      <x:c r="E266" t="str">
        <x:v>Services</x:v>
      </x:c>
      <x:c r="F266" t="str">
        <x:v>Consulting 1h</x:v>
      </x:c>
      <x:c r="G266" t="n">
        <x:v>1</x:v>
      </x:c>
      <x:c r="H266" s="40" t="n">
        <x:v>167.3</x:v>
      </x:c>
      <x:c r="I266" s="66" t="n">
        <x:v>0.1</x:v>
      </x:c>
      <x:c r="J266" s="40" t="n">
        <x:v>150.57</x:v>
      </x:c>
      <x:c r="K266" s="40" t="n">
        <x:v>55</x:v>
      </x:c>
      <x:c r="L266" s="40" t="n">
        <x:v>95.57</x:v>
      </x:c>
    </x:row>
    <x:row r="267">
      <x:c r="A267" s="38" t="n">
        <x:v>46129</x:v>
      </x:c>
      <x:c r="B267" t="str">
        <x:v>2026-04</x:v>
      </x:c>
      <x:c r="C267" t="str">
        <x:v>Latvia</x:v>
      </x:c>
      <x:c r="D267" t="str">
        <x:v>Anna</x:v>
      </x:c>
      <x:c r="E267" t="str">
        <x:v>Digital</x:v>
      </x:c>
      <x:c r="F267" t="str">
        <x:v>Dashboard Template</x:v>
      </x:c>
      <x:c r="G267" t="n">
        <x:v>7</x:v>
      </x:c>
      <x:c r="H267" s="40" t="n">
        <x:v>73.23</x:v>
      </x:c>
      <x:c r="I267" s="66" t="n">
        <x:v>0.15</x:v>
      </x:c>
      <x:c r="J267" s="40" t="n">
        <x:v>435.72</x:v>
      </x:c>
      <x:c r="K267" s="40" t="n">
        <x:v>56</x:v>
      </x:c>
      <x:c r="L267" s="40" t="n">
        <x:v>379.72</x:v>
      </x:c>
    </x:row>
    <x:row r="268">
      <x:c r="A268" s="38" t="n">
        <x:v>46150</x:v>
      </x:c>
      <x:c r="B268" t="str">
        <x:v>2026-05</x:v>
      </x:c>
      <x:c r="C268" t="str">
        <x:v>Estonia</x:v>
      </x:c>
      <x:c r="D268" t="str">
        <x:v>Elena</x:v>
      </x:c>
      <x:c r="E268" t="str">
        <x:v>Services</x:v>
      </x:c>
      <x:c r="F268" t="str">
        <x:v>Setup Package</x:v>
      </x:c>
      <x:c r="G268" t="n">
        <x:v>1</x:v>
      </x:c>
      <x:c r="H268" s="40" t="n">
        <x:v>374.3</x:v>
      </x:c>
      <x:c r="I268" s="66" t="n">
        <x:v>0</x:v>
      </x:c>
      <x:c r="J268" s="40" t="n">
        <x:v>374.3</x:v>
      </x:c>
      <x:c r="K268" s="40" t="n">
        <x:v>160</x:v>
      </x:c>
      <x:c r="L268" s="40" t="n">
        <x:v>214.3</x:v>
      </x:c>
    </x:row>
    <x:row r="269">
      <x:c r="A269" s="38" t="n">
        <x:v>46119</x:v>
      </x:c>
      <x:c r="B269" t="str">
        <x:v>2026-04</x:v>
      </x:c>
      <x:c r="C269" t="str">
        <x:v>Lithuania</x:v>
      </x:c>
      <x:c r="D269" t="str">
        <x:v>Daria</x:v>
      </x:c>
      <x:c r="E269" t="str">
        <x:v>Services</x:v>
      </x:c>
      <x:c r="F269" t="str">
        <x:v>Setup Package</x:v>
      </x:c>
      <x:c r="G269" t="n">
        <x:v>2</x:v>
      </x:c>
      <x:c r="H269" s="40" t="n">
        <x:v>412.15</x:v>
      </x:c>
      <x:c r="I269" s="66" t="n">
        <x:v>0</x:v>
      </x:c>
      <x:c r="J269" s="40" t="n">
        <x:v>824.3</x:v>
      </x:c>
      <x:c r="K269" s="40" t="n">
        <x:v>320</x:v>
      </x:c>
      <x:c r="L269" s="40" t="n">
        <x:v>504.3</x:v>
      </x:c>
    </x:row>
    <x:row r="270">
      <x:c r="A270" s="38" t="n">
        <x:v>46117</x:v>
      </x:c>
      <x:c r="B270" t="str">
        <x:v>2026-04</x:v>
      </x:c>
      <x:c r="C270" t="str">
        <x:v>Finland</x:v>
      </x:c>
      <x:c r="D270" t="str">
        <x:v>Anna</x:v>
      </x:c>
      <x:c r="E270" t="str">
        <x:v>Services</x:v>
      </x:c>
      <x:c r="F270" t="str">
        <x:v>Setup Package</x:v>
      </x:c>
      <x:c r="G270" t="n">
        <x:v>2</x:v>
      </x:c>
      <x:c r="H270" s="40" t="n">
        <x:v>373.07</x:v>
      </x:c>
      <x:c r="I270" s="66" t="n">
        <x:v>0</x:v>
      </x:c>
      <x:c r="J270" s="40" t="n">
        <x:v>746.14</x:v>
      </x:c>
      <x:c r="K270" s="40" t="n">
        <x:v>320</x:v>
      </x:c>
      <x:c r="L270" s="40" t="n">
        <x:v>426.14</x:v>
      </x:c>
    </x:row>
    <x:row r="271">
      <x:c r="A271" s="38" t="n">
        <x:v>46123</x:v>
      </x:c>
      <x:c r="B271" t="str">
        <x:v>2026-04</x:v>
      </x:c>
      <x:c r="C271" t="str">
        <x:v>Lithuania</x:v>
      </x:c>
      <x:c r="D271" t="str">
        <x:v>Olga</x:v>
      </x:c>
      <x:c r="E271" t="str">
        <x:v>Subscription</x:v>
      </x:c>
      <x:c r="F271" t="str">
        <x:v>Pro Plan</x:v>
      </x:c>
      <x:c r="G271" t="n">
        <x:v>8</x:v>
      </x:c>
      <x:c r="H271" s="40" t="n">
        <x:v>148.3</x:v>
      </x:c>
      <x:c r="I271" s="66" t="n">
        <x:v>0</x:v>
      </x:c>
      <x:c r="J271" s="40" t="n">
        <x:v>1186.4</x:v>
      </x:c>
      <x:c r="K271" s="40" t="n">
        <x:v>360</x:v>
      </x:c>
      <x:c r="L271" s="40" t="n">
        <x:v>826.4</x:v>
      </x:c>
    </x:row>
    <x:row r="272">
      <x:c r="A272" s="38" t="n">
        <x:v>46145</x:v>
      </x:c>
      <x:c r="B272" t="str">
        <x:v>2026-05</x:v>
      </x:c>
      <x:c r="C272" t="str">
        <x:v>Poland</x:v>
      </x:c>
      <x:c r="D272" t="str">
        <x:v>Maria</x:v>
      </x:c>
      <x:c r="E272" t="str">
        <x:v>Services</x:v>
      </x:c>
      <x:c r="F272" t="str">
        <x:v>Setup Package</x:v>
      </x:c>
      <x:c r="G272" t="n">
        <x:v>4</x:v>
      </x:c>
      <x:c r="H272" s="40" t="n">
        <x:v>445.41</x:v>
      </x:c>
      <x:c r="I272" s="66" t="n">
        <x:v>0</x:v>
      </x:c>
      <x:c r="J272" s="40" t="n">
        <x:v>1781.64</x:v>
      </x:c>
      <x:c r="K272" s="40" t="n">
        <x:v>640</x:v>
      </x:c>
      <x:c r="L272" s="40" t="n">
        <x:v>1141.64</x:v>
      </x:c>
    </x:row>
    <x:row r="273">
      <x:c r="A273" s="38" t="n">
        <x:v>46119</x:v>
      </x:c>
      <x:c r="B273" t="str">
        <x:v>2026-04</x:v>
      </x:c>
      <x:c r="C273" t="str">
        <x:v>Poland</x:v>
      </x:c>
      <x:c r="D273" t="str">
        <x:v>Anna</x:v>
      </x:c>
      <x:c r="E273" t="str">
        <x:v>Digital</x:v>
      </x:c>
      <x:c r="F273" t="str">
        <x:v>Dashboard Template</x:v>
      </x:c>
      <x:c r="G273" t="n">
        <x:v>8</x:v>
      </x:c>
      <x:c r="H273" s="40" t="n">
        <x:v>67.71</x:v>
      </x:c>
      <x:c r="I273" s="66" t="n">
        <x:v>0.15</x:v>
      </x:c>
      <x:c r="J273" s="40" t="n">
        <x:v>460.43</x:v>
      </x:c>
      <x:c r="K273" s="40" t="n">
        <x:v>64</x:v>
      </x:c>
      <x:c r="L273" s="40" t="n">
        <x:v>396.43</x:v>
      </x:c>
    </x:row>
    <x:row r="274">
      <x:c r="A274" s="38" t="n">
        <x:v>46197</x:v>
      </x:c>
      <x:c r="B274" t="str">
        <x:v>2026-06</x:v>
      </x:c>
      <x:c r="C274" t="str">
        <x:v>Lithuania</x:v>
      </x:c>
      <x:c r="D274" t="str">
        <x:v>Maria</x:v>
      </x:c>
      <x:c r="E274" t="str">
        <x:v>Subscription</x:v>
      </x:c>
      <x:c r="F274" t="str">
        <x:v>Starter Kit</x:v>
      </x:c>
      <x:c r="G274" t="n">
        <x:v>8</x:v>
      </x:c>
      <x:c r="H274" s="40" t="n">
        <x:v>46.49</x:v>
      </x:c>
      <x:c r="I274" s="66" t="n">
        <x:v>0</x:v>
      </x:c>
      <x:c r="J274" s="40" t="n">
        <x:v>371.92</x:v>
      </x:c>
      <x:c r="K274" s="40" t="n">
        <x:v>160</x:v>
      </x:c>
      <x:c r="L274" s="40" t="n">
        <x:v>211.92</x:v>
      </x:c>
    </x:row>
    <x:row r="275">
      <x:c r="A275" s="38" t="n">
        <x:v>46142</x:v>
      </x:c>
      <x:c r="B275" t="str">
        <x:v>2026-04</x:v>
      </x:c>
      <x:c r="C275" t="str">
        <x:v>Estonia</x:v>
      </x:c>
      <x:c r="D275" t="str">
        <x:v>Elena</x:v>
      </x:c>
      <x:c r="E275" t="str">
        <x:v>Services</x:v>
      </x:c>
      <x:c r="F275" t="str">
        <x:v>Consulting 1h</x:v>
      </x:c>
      <x:c r="G275" t="n">
        <x:v>1</x:v>
      </x:c>
      <x:c r="H275" s="40" t="n">
        <x:v>161.3</x:v>
      </x:c>
      <x:c r="I275" s="66" t="n">
        <x:v>0</x:v>
      </x:c>
      <x:c r="J275" s="40" t="n">
        <x:v>161.3</x:v>
      </x:c>
      <x:c r="K275" s="40" t="n">
        <x:v>55</x:v>
      </x:c>
      <x:c r="L275" s="40" t="n">
        <x:v>106.3</x:v>
      </x:c>
    </x:row>
    <x:row r="276">
      <x:c r="A276" s="38" t="n">
        <x:v>46103</x:v>
      </x:c>
      <x:c r="B276" t="str">
        <x:v>2026-03</x:v>
      </x:c>
      <x:c r="C276" t="str">
        <x:v>Latvia</x:v>
      </x:c>
      <x:c r="D276" t="str">
        <x:v>Maria</x:v>
      </x:c>
      <x:c r="E276" t="str">
        <x:v>Digital</x:v>
      </x:c>
      <x:c r="F276" t="str">
        <x:v>Dashboard Template</x:v>
      </x:c>
      <x:c r="G276" t="n">
        <x:v>2</x:v>
      </x:c>
      <x:c r="H276" s="40" t="n">
        <x:v>64.63</x:v>
      </x:c>
      <x:c r="I276" s="66" t="n">
        <x:v>0</x:v>
      </x:c>
      <x:c r="J276" s="40" t="n">
        <x:v>129.26</x:v>
      </x:c>
      <x:c r="K276" s="40" t="n">
        <x:v>16</x:v>
      </x:c>
      <x:c r="L276" s="40" t="n">
        <x:v>113.26</x:v>
      </x:c>
    </x:row>
    <x:row r="277">
      <x:c r="A277" s="38" t="n">
        <x:v>46032</x:v>
      </x:c>
      <x:c r="B277" t="str">
        <x:v>2026-01</x:v>
      </x:c>
      <x:c r="C277" t="str">
        <x:v>Estonia</x:v>
      </x:c>
      <x:c r="D277" t="str">
        <x:v>Daria</x:v>
      </x:c>
      <x:c r="E277" t="str">
        <x:v>Digital</x:v>
      </x:c>
      <x:c r="F277" t="str">
        <x:v>Dashboard Template</x:v>
      </x:c>
      <x:c r="G277" t="n">
        <x:v>1</x:v>
      </x:c>
      <x:c r="H277" s="40" t="n">
        <x:v>63.72</x:v>
      </x:c>
      <x:c r="I277" s="66" t="n">
        <x:v>0.05</x:v>
      </x:c>
      <x:c r="J277" s="40" t="n">
        <x:v>60.53</x:v>
      </x:c>
      <x:c r="K277" s="40" t="n">
        <x:v>8</x:v>
      </x:c>
      <x:c r="L277" s="40" t="n">
        <x:v>52.53</x:v>
      </x:c>
    </x:row>
    <x:row r="278">
      <x:c r="A278" s="38" t="n">
        <x:v>46063</x:v>
      </x:c>
      <x:c r="B278" t="str">
        <x:v>2026-02</x:v>
      </x:c>
      <x:c r="C278" t="str">
        <x:v>Finland</x:v>
      </x:c>
      <x:c r="D278" t="str">
        <x:v>Olga</x:v>
      </x:c>
      <x:c r="E278" t="str">
        <x:v>Digital</x:v>
      </x:c>
      <x:c r="F278" t="str">
        <x:v>CRM Template</x:v>
      </x:c>
      <x:c r="G278" t="n">
        <x:v>2</x:v>
      </x:c>
      <x:c r="H278" s="40" t="n">
        <x:v>87.42</x:v>
      </x:c>
      <x:c r="I278" s="66" t="n">
        <x:v>0.05</x:v>
      </x:c>
      <x:c r="J278" s="40" t="n">
        <x:v>166.1</x:v>
      </x:c>
      <x:c r="K278" s="40" t="n">
        <x:v>20</x:v>
      </x:c>
      <x:c r="L278" s="40" t="n">
        <x:v>146.1</x:v>
      </x:c>
    </x:row>
    <x:row r="279">
      <x:c r="A279" s="38" t="n">
        <x:v>46054</x:v>
      </x:c>
      <x:c r="B279" t="str">
        <x:v>2026-02</x:v>
      </x:c>
      <x:c r="C279" t="str">
        <x:v>Finland</x:v>
      </x:c>
      <x:c r="D279" t="str">
        <x:v>Elena</x:v>
      </x:c>
      <x:c r="E279" t="str">
        <x:v>Subscription</x:v>
      </x:c>
      <x:c r="F279" t="str">
        <x:v>Pro Plan</x:v>
      </x:c>
      <x:c r="G279" t="n">
        <x:v>8</x:v>
      </x:c>
      <x:c r="H279" s="40" t="n">
        <x:v>136.49</x:v>
      </x:c>
      <x:c r="I279" s="66" t="n">
        <x:v>0</x:v>
      </x:c>
      <x:c r="J279" s="40" t="n">
        <x:v>1091.92</x:v>
      </x:c>
      <x:c r="K279" s="40" t="n">
        <x:v>360</x:v>
      </x:c>
      <x:c r="L279" s="40" t="n">
        <x:v>731.92</x:v>
      </x:c>
    </x:row>
    <x:row r="280">
      <x:c r="A280" s="38" t="n">
        <x:v>46097</x:v>
      </x:c>
      <x:c r="B280" t="str">
        <x:v>2026-03</x:v>
      </x:c>
      <x:c r="C280" t="str">
        <x:v>Lithuania</x:v>
      </x:c>
      <x:c r="D280" t="str">
        <x:v>Anna</x:v>
      </x:c>
      <x:c r="E280" t="str">
        <x:v>Digital</x:v>
      </x:c>
      <x:c r="F280" t="str">
        <x:v>CRM Template</x:v>
      </x:c>
      <x:c r="G280" t="n">
        <x:v>2</x:v>
      </x:c>
      <x:c r="H280" s="40" t="n">
        <x:v>98.26</x:v>
      </x:c>
      <x:c r="I280" s="66" t="n">
        <x:v>0.15</x:v>
      </x:c>
      <x:c r="J280" s="40" t="n">
        <x:v>167.04</x:v>
      </x:c>
      <x:c r="K280" s="40" t="n">
        <x:v>20</x:v>
      </x:c>
      <x:c r="L280" s="40" t="n">
        <x:v>147.04</x:v>
      </x:c>
    </x:row>
    <x:row r="281">
      <x:c r="A281" s="38" t="n">
        <x:v>46109</x:v>
      </x:c>
      <x:c r="B281" t="str">
        <x:v>2026-03</x:v>
      </x:c>
      <x:c r="C281" t="str">
        <x:v>Estonia</x:v>
      </x:c>
      <x:c r="D281" t="str">
        <x:v>Olga</x:v>
      </x:c>
      <x:c r="E281" t="str">
        <x:v>Services</x:v>
      </x:c>
      <x:c r="F281" t="str">
        <x:v>Consulting 1h</x:v>
      </x:c>
      <x:c r="G281" t="n">
        <x:v>7</x:v>
      </x:c>
      <x:c r="H281" s="40" t="n">
        <x:v>169.08</x:v>
      </x:c>
      <x:c r="I281" s="66" t="n">
        <x:v>0</x:v>
      </x:c>
      <x:c r="J281" s="40" t="n">
        <x:v>1183.56</x:v>
      </x:c>
      <x:c r="K281" s="40" t="n">
        <x:v>385</x:v>
      </x:c>
      <x:c r="L281" s="40" t="n">
        <x:v>798.56</x:v>
      </x:c>
    </x:row>
    <x:row r="282">
      <x:c r="A282" s="38" t="n">
        <x:v>46169</x:v>
      </x:c>
      <x:c r="B282" t="str">
        <x:v>2026-05</x:v>
      </x:c>
      <x:c r="C282" t="str">
        <x:v>Estonia</x:v>
      </x:c>
      <x:c r="D282" t="str">
        <x:v>Elena</x:v>
      </x:c>
      <x:c r="E282" t="str">
        <x:v>Digital</x:v>
      </x:c>
      <x:c r="F282" t="str">
        <x:v>CRM Template</x:v>
      </x:c>
      <x:c r="G282" t="n">
        <x:v>3</x:v>
      </x:c>
      <x:c r="H282" s="40" t="n">
        <x:v>83.73</x:v>
      </x:c>
      <x:c r="I282" s="66" t="n">
        <x:v>0.15</x:v>
      </x:c>
      <x:c r="J282" s="40" t="n">
        <x:v>213.51</x:v>
      </x:c>
      <x:c r="K282" s="40" t="n">
        <x:v>30</x:v>
      </x:c>
      <x:c r="L282" s="40" t="n">
        <x:v>183.51</x:v>
      </x:c>
    </x:row>
    <x:row r="283">
      <x:c r="A283" s="38" t="n">
        <x:v>46126</x:v>
      </x:c>
      <x:c r="B283" t="str">
        <x:v>2026-04</x:v>
      </x:c>
      <x:c r="C283" t="str">
        <x:v>Estonia</x:v>
      </x:c>
      <x:c r="D283" t="str">
        <x:v>Daria</x:v>
      </x:c>
      <x:c r="E283" t="str">
        <x:v>Services</x:v>
      </x:c>
      <x:c r="F283" t="str">
        <x:v>Setup Package</x:v>
      </x:c>
      <x:c r="G283" t="n">
        <x:v>7</x:v>
      </x:c>
      <x:c r="H283" s="40" t="n">
        <x:v>369.8</x:v>
      </x:c>
      <x:c r="I283" s="66" t="n">
        <x:v>0</x:v>
      </x:c>
      <x:c r="J283" s="40" t="n">
        <x:v>2588.6</x:v>
      </x:c>
      <x:c r="K283" s="40" t="n">
        <x:v>1120</x:v>
      </x:c>
      <x:c r="L283" s="40" t="n">
        <x:v>1468.6</x:v>
      </x:c>
    </x:row>
    <x:row r="284">
      <x:c r="A284" s="38" t="n">
        <x:v>46194</x:v>
      </x:c>
      <x:c r="B284" t="str">
        <x:v>2026-06</x:v>
      </x:c>
      <x:c r="C284" t="str">
        <x:v>Latvia</x:v>
      </x:c>
      <x:c r="D284" t="str">
        <x:v>Sofia</x:v>
      </x:c>
      <x:c r="E284" t="str">
        <x:v>Services</x:v>
      </x:c>
      <x:c r="F284" t="str">
        <x:v>Consulting 1h</x:v>
      </x:c>
      <x:c r="G284" t="n">
        <x:v>4</x:v>
      </x:c>
      <x:c r="H284" s="40" t="n">
        <x:v>163.81</x:v>
      </x:c>
      <x:c r="I284" s="66" t="n">
        <x:v>0</x:v>
      </x:c>
      <x:c r="J284" s="40" t="n">
        <x:v>655.24</x:v>
      </x:c>
      <x:c r="K284" s="40" t="n">
        <x:v>220</x:v>
      </x:c>
      <x:c r="L284" s="40" t="n">
        <x:v>435.24</x:v>
      </x:c>
    </x:row>
    <x:row r="285">
      <x:c r="A285" s="38" t="n">
        <x:v>46045</x:v>
      </x:c>
      <x:c r="B285" t="str">
        <x:v>2026-01</x:v>
      </x:c>
      <x:c r="C285" t="str">
        <x:v>Lithuania</x:v>
      </x:c>
      <x:c r="D285" t="str">
        <x:v>Anna</x:v>
      </x:c>
      <x:c r="E285" t="str">
        <x:v>Digital</x:v>
      </x:c>
      <x:c r="F285" t="str">
        <x:v>CRM Template</x:v>
      </x:c>
      <x:c r="G285" t="n">
        <x:v>6</x:v>
      </x:c>
      <x:c r="H285" s="40" t="n">
        <x:v>97.81</x:v>
      </x:c>
      <x:c r="I285" s="66" t="n">
        <x:v>0</x:v>
      </x:c>
      <x:c r="J285" s="40" t="n">
        <x:v>586.86</x:v>
      </x:c>
      <x:c r="K285" s="40" t="n">
        <x:v>60</x:v>
      </x:c>
      <x:c r="L285" s="40" t="n">
        <x:v>526.86</x:v>
      </x:c>
    </x:row>
    <x:row r="286">
      <x:c r="A286" s="38" t="n">
        <x:v>46154</x:v>
      </x:c>
      <x:c r="B286" t="str">
        <x:v>2026-05</x:v>
      </x:c>
      <x:c r="C286" t="str">
        <x:v>Finland</x:v>
      </x:c>
      <x:c r="D286" t="str">
        <x:v>Daria</x:v>
      </x:c>
      <x:c r="E286" t="str">
        <x:v>Education</x:v>
      </x:c>
      <x:c r="F286" t="str">
        <x:v>Training Session</x:v>
      </x:c>
      <x:c r="G286" t="n">
        <x:v>4</x:v>
      </x:c>
      <x:c r="H286" s="40" t="n">
        <x:v>236.87</x:v>
      </x:c>
      <x:c r="I286" s="66" t="n">
        <x:v>0</x:v>
      </x:c>
      <x:c r="J286" s="40" t="n">
        <x:v>947.48</x:v>
      </x:c>
      <x:c r="K286" s="40" t="n">
        <x:v>280</x:v>
      </x:c>
      <x:c r="L286" s="40" t="n">
        <x:v>667.48</x:v>
      </x:c>
    </x:row>
    <x:row r="287">
      <x:c r="A287" s="38" t="n">
        <x:v>46156</x:v>
      </x:c>
      <x:c r="B287" t="str">
        <x:v>2026-05</x:v>
      </x:c>
      <x:c r="C287" t="str">
        <x:v>Estonia</x:v>
      </x:c>
      <x:c r="D287" t="str">
        <x:v>Anna</x:v>
      </x:c>
      <x:c r="E287" t="str">
        <x:v>Subscription</x:v>
      </x:c>
      <x:c r="F287" t="str">
        <x:v>Starter Kit</x:v>
      </x:c>
      <x:c r="G287" t="n">
        <x:v>7</x:v>
      </x:c>
      <x:c r="H287" s="40" t="n">
        <x:v>51.3</x:v>
      </x:c>
      <x:c r="I287" s="66" t="n">
        <x:v>0</x:v>
      </x:c>
      <x:c r="J287" s="40" t="n">
        <x:v>359.1</x:v>
      </x:c>
      <x:c r="K287" s="40" t="n">
        <x:v>140</x:v>
      </x:c>
      <x:c r="L287" s="40" t="n">
        <x:v>219.1</x:v>
      </x:c>
    </x:row>
    <x:row r="288">
      <x:c r="A288" s="38" t="n">
        <x:v>46193</x:v>
      </x:c>
      <x:c r="B288" t="str">
        <x:v>2026-06</x:v>
      </x:c>
      <x:c r="C288" t="str">
        <x:v>Lithuania</x:v>
      </x:c>
      <x:c r="D288" t="str">
        <x:v>Olga</x:v>
      </x:c>
      <x:c r="E288" t="str">
        <x:v>Digital</x:v>
      </x:c>
      <x:c r="F288" t="str">
        <x:v>CRM Template</x:v>
      </x:c>
      <x:c r="G288" t="n">
        <x:v>8</x:v>
      </x:c>
      <x:c r="H288" s="40" t="n">
        <x:v>85.98</x:v>
      </x:c>
      <x:c r="I288" s="66" t="n">
        <x:v>0.05</x:v>
      </x:c>
      <x:c r="J288" s="40" t="n">
        <x:v>653.45</x:v>
      </x:c>
      <x:c r="K288" s="40" t="n">
        <x:v>80</x:v>
      </x:c>
      <x:c r="L288" s="40" t="n">
        <x:v>573.45</x:v>
      </x:c>
    </x:row>
    <x:row r="289">
      <x:c r="A289" s="38" t="n">
        <x:v>46169</x:v>
      </x:c>
      <x:c r="B289" t="str">
        <x:v>2026-05</x:v>
      </x:c>
      <x:c r="C289" t="str">
        <x:v>Estonia</x:v>
      </x:c>
      <x:c r="D289" t="str">
        <x:v>Olga</x:v>
      </x:c>
      <x:c r="E289" t="str">
        <x:v>Services</x:v>
      </x:c>
      <x:c r="F289" t="str">
        <x:v>Setup Package</x:v>
      </x:c>
      <x:c r="G289" t="n">
        <x:v>1</x:v>
      </x:c>
      <x:c r="H289" s="40" t="n">
        <x:v>420.83</x:v>
      </x:c>
      <x:c r="I289" s="66" t="n">
        <x:v>0.15</x:v>
      </x:c>
      <x:c r="J289" s="40" t="n">
        <x:v>357.71</x:v>
      </x:c>
      <x:c r="K289" s="40" t="n">
        <x:v>160</x:v>
      </x:c>
      <x:c r="L289" s="40" t="n">
        <x:v>197.71</x:v>
      </x:c>
    </x:row>
    <x:row r="290">
      <x:c r="A290" s="38" t="n">
        <x:v>46081</x:v>
      </x:c>
      <x:c r="B290" t="str">
        <x:v>2026-02</x:v>
      </x:c>
      <x:c r="C290" t="str">
        <x:v>Estonia</x:v>
      </x:c>
      <x:c r="D290" t="str">
        <x:v>Anna</x:v>
      </x:c>
      <x:c r="E290" t="str">
        <x:v>Education</x:v>
      </x:c>
      <x:c r="F290" t="str">
        <x:v>Training Session</x:v>
      </x:c>
      <x:c r="G290" t="n">
        <x:v>4</x:v>
      </x:c>
      <x:c r="H290" s="40" t="n">
        <x:v>189.19</x:v>
      </x:c>
      <x:c r="I290" s="66" t="n">
        <x:v>0</x:v>
      </x:c>
      <x:c r="J290" s="40" t="n">
        <x:v>756.76</x:v>
      </x:c>
      <x:c r="K290" s="40" t="n">
        <x:v>280</x:v>
      </x:c>
      <x:c r="L290" s="40" t="n">
        <x:v>476.76</x:v>
      </x:c>
    </x:row>
    <x:row r="291">
      <x:c r="A291" s="38" t="n">
        <x:v>46195</x:v>
      </x:c>
      <x:c r="B291" t="str">
        <x:v>2026-06</x:v>
      </x:c>
      <x:c r="C291" t="str">
        <x:v>Estonia</x:v>
      </x:c>
      <x:c r="D291" t="str">
        <x:v>Daria</x:v>
      </x:c>
      <x:c r="E291" t="str">
        <x:v>Digital</x:v>
      </x:c>
      <x:c r="F291" t="str">
        <x:v>CRM Template</x:v>
      </x:c>
      <x:c r="G291" t="n">
        <x:v>8</x:v>
      </x:c>
      <x:c r="H291" s="40" t="n">
        <x:v>94.07</x:v>
      </x:c>
      <x:c r="I291" s="66" t="n">
        <x:v>0.1</x:v>
      </x:c>
      <x:c r="J291" s="40" t="n">
        <x:v>677.3</x:v>
      </x:c>
      <x:c r="K291" s="40" t="n">
        <x:v>80</x:v>
      </x:c>
      <x:c r="L291" s="40" t="n">
        <x:v>597.3</x:v>
      </x:c>
    </x:row>
    <x:row r="292">
      <x:c r="A292" s="38" t="n">
        <x:v>46164</x:v>
      </x:c>
      <x:c r="B292" t="str">
        <x:v>2026-05</x:v>
      </x:c>
      <x:c r="C292" t="str">
        <x:v>Estonia</x:v>
      </x:c>
      <x:c r="D292" t="str">
        <x:v>Olga</x:v>
      </x:c>
      <x:c r="E292" t="str">
        <x:v>Subscription</x:v>
      </x:c>
      <x:c r="F292" t="str">
        <x:v>Pro Plan</x:v>
      </x:c>
      <x:c r="G292" t="n">
        <x:v>7</x:v>
      </x:c>
      <x:c r="H292" s="40" t="n">
        <x:v>120.09</x:v>
      </x:c>
      <x:c r="I292" s="66" t="n">
        <x:v>0.05</x:v>
      </x:c>
      <x:c r="J292" s="40" t="n">
        <x:v>798.6</x:v>
      </x:c>
      <x:c r="K292" s="40" t="n">
        <x:v>315</x:v>
      </x:c>
      <x:c r="L292" s="40" t="n">
        <x:v>483.6</x:v>
      </x:c>
    </x:row>
    <x:row r="293">
      <x:c r="A293" s="38" t="n">
        <x:v>46044</x:v>
      </x:c>
      <x:c r="B293" t="str">
        <x:v>2026-01</x:v>
      </x:c>
      <x:c r="C293" t="str">
        <x:v>Finland</x:v>
      </x:c>
      <x:c r="D293" t="str">
        <x:v>Sofia</x:v>
      </x:c>
      <x:c r="E293" t="str">
        <x:v>Services</x:v>
      </x:c>
      <x:c r="F293" t="str">
        <x:v>Setup Package</x:v>
      </x:c>
      <x:c r="G293" t="n">
        <x:v>3</x:v>
      </x:c>
      <x:c r="H293" s="40" t="n">
        <x:v>410.01</x:v>
      </x:c>
      <x:c r="I293" s="66" t="n">
        <x:v>0.05</x:v>
      </x:c>
      <x:c r="J293" s="40" t="n">
        <x:v>1168.53</x:v>
      </x:c>
      <x:c r="K293" s="40" t="n">
        <x:v>480</x:v>
      </x:c>
      <x:c r="L293" s="40" t="n">
        <x:v>688.53</x:v>
      </x:c>
    </x:row>
    <x:row r="294">
      <x:c r="A294" s="38" t="n">
        <x:v>46050</x:v>
      </x:c>
      <x:c r="B294" t="str">
        <x:v>2026-01</x:v>
      </x:c>
      <x:c r="C294" t="str">
        <x:v>Lithuania</x:v>
      </x:c>
      <x:c r="D294" t="str">
        <x:v>Elena</x:v>
      </x:c>
      <x:c r="E294" t="str">
        <x:v>Digital</x:v>
      </x:c>
      <x:c r="F294" t="str">
        <x:v>CRM Template</x:v>
      </x:c>
      <x:c r="G294" t="n">
        <x:v>3</x:v>
      </x:c>
      <x:c r="H294" s="40" t="n">
        <x:v>88.27</x:v>
      </x:c>
      <x:c r="I294" s="66" t="n">
        <x:v>0.1</x:v>
      </x:c>
      <x:c r="J294" s="40" t="n">
        <x:v>238.33</x:v>
      </x:c>
      <x:c r="K294" s="40" t="n">
        <x:v>30</x:v>
      </x:c>
      <x:c r="L294" s="40" t="n">
        <x:v>208.33</x:v>
      </x:c>
    </x:row>
    <x:row r="295">
      <x:c r="A295" s="38" t="n">
        <x:v>46186</x:v>
      </x:c>
      <x:c r="B295" t="str">
        <x:v>2026-06</x:v>
      </x:c>
      <x:c r="C295" t="str">
        <x:v>Poland</x:v>
      </x:c>
      <x:c r="D295" t="str">
        <x:v>Daria</x:v>
      </x:c>
      <x:c r="E295" t="str">
        <x:v>Digital</x:v>
      </x:c>
      <x:c r="F295" t="str">
        <x:v>CRM Template</x:v>
      </x:c>
      <x:c r="G295" t="n">
        <x:v>6</x:v>
      </x:c>
      <x:c r="H295" s="40" t="n">
        <x:v>95.58</x:v>
      </x:c>
      <x:c r="I295" s="66" t="n">
        <x:v>0</x:v>
      </x:c>
      <x:c r="J295" s="40" t="n">
        <x:v>573.48</x:v>
      </x:c>
      <x:c r="K295" s="40" t="n">
        <x:v>60</x:v>
      </x:c>
      <x:c r="L295" s="40" t="n">
        <x:v>513.48</x:v>
      </x:c>
    </x:row>
    <x:row r="296">
      <x:c r="A296" s="38" t="n">
        <x:v>46135</x:v>
      </x:c>
      <x:c r="B296" t="str">
        <x:v>2026-04</x:v>
      </x:c>
      <x:c r="C296" t="str">
        <x:v>Latvia</x:v>
      </x:c>
      <x:c r="D296" t="str">
        <x:v>Maria</x:v>
      </x:c>
      <x:c r="E296" t="str">
        <x:v>Digital</x:v>
      </x:c>
      <x:c r="F296" t="str">
        <x:v>CRM Template</x:v>
      </x:c>
      <x:c r="G296" t="n">
        <x:v>8</x:v>
      </x:c>
      <x:c r="H296" s="40" t="n">
        <x:v>86.9</x:v>
      </x:c>
      <x:c r="I296" s="66" t="n">
        <x:v>0</x:v>
      </x:c>
      <x:c r="J296" s="40" t="n">
        <x:v>695.2</x:v>
      </x:c>
      <x:c r="K296" s="40" t="n">
        <x:v>80</x:v>
      </x:c>
      <x:c r="L296" s="40" t="n">
        <x:v>615.2</x:v>
      </x:c>
    </x:row>
    <x:row r="297">
      <x:c r="A297" s="38" t="n">
        <x:v>46191</x:v>
      </x:c>
      <x:c r="B297" t="str">
        <x:v>2026-06</x:v>
      </x:c>
      <x:c r="C297" t="str">
        <x:v>Latvia</x:v>
      </x:c>
      <x:c r="D297" t="str">
        <x:v>Elena</x:v>
      </x:c>
      <x:c r="E297" t="str">
        <x:v>Subscription</x:v>
      </x:c>
      <x:c r="F297" t="str">
        <x:v>Pro Plan</x:v>
      </x:c>
      <x:c r="G297" t="n">
        <x:v>4</x:v>
      </x:c>
      <x:c r="H297" s="40" t="n">
        <x:v>127.09</x:v>
      </x:c>
      <x:c r="I297" s="66" t="n">
        <x:v>0</x:v>
      </x:c>
      <x:c r="J297" s="40" t="n">
        <x:v>508.36</x:v>
      </x:c>
      <x:c r="K297" s="40" t="n">
        <x:v>180</x:v>
      </x:c>
      <x:c r="L297" s="40" t="n">
        <x:v>328.36</x:v>
      </x:c>
    </x:row>
    <x:row r="298">
      <x:c r="A298" s="38" t="n">
        <x:v>46059</x:v>
      </x:c>
      <x:c r="B298" t="str">
        <x:v>2026-02</x:v>
      </x:c>
      <x:c r="C298" t="str">
        <x:v>Lithuania</x:v>
      </x:c>
      <x:c r="D298" t="str">
        <x:v>Daria</x:v>
      </x:c>
      <x:c r="E298" t="str">
        <x:v>Education</x:v>
      </x:c>
      <x:c r="F298" t="str">
        <x:v>Training Session</x:v>
      </x:c>
      <x:c r="G298" t="n">
        <x:v>3</x:v>
      </x:c>
      <x:c r="H298" s="40" t="n">
        <x:v>224.13</x:v>
      </x:c>
      <x:c r="I298" s="66" t="n">
        <x:v>0.15</x:v>
      </x:c>
      <x:c r="J298" s="40" t="n">
        <x:v>571.53</x:v>
      </x:c>
      <x:c r="K298" s="40" t="n">
        <x:v>210</x:v>
      </x:c>
      <x:c r="L298" s="40" t="n">
        <x:v>361.53</x:v>
      </x:c>
    </x:row>
    <x:row r="299">
      <x:c r="A299" s="38" t="n">
        <x:v>46059</x:v>
      </x:c>
      <x:c r="B299" t="str">
        <x:v>2026-02</x:v>
      </x:c>
      <x:c r="C299" t="str">
        <x:v>Poland</x:v>
      </x:c>
      <x:c r="D299" t="str">
        <x:v>Elena</x:v>
      </x:c>
      <x:c r="E299" t="str">
        <x:v>Digital</x:v>
      </x:c>
      <x:c r="F299" t="str">
        <x:v>Dashboard Template</x:v>
      </x:c>
      <x:c r="G299" t="n">
        <x:v>3</x:v>
      </x:c>
      <x:c r="H299" s="40" t="n">
        <x:v>74.12</x:v>
      </x:c>
      <x:c r="I299" s="66" t="n">
        <x:v>0</x:v>
      </x:c>
      <x:c r="J299" s="40" t="n">
        <x:v>222.36</x:v>
      </x:c>
      <x:c r="K299" s="40" t="n">
        <x:v>24</x:v>
      </x:c>
      <x:c r="L299" s="40" t="n">
        <x:v>198.36</x:v>
      </x:c>
    </x:row>
    <x:row r="300">
      <x:c r="A300" s="38" t="n">
        <x:v>46071</x:v>
      </x:c>
      <x:c r="B300" t="str">
        <x:v>2026-02</x:v>
      </x:c>
      <x:c r="C300" t="str">
        <x:v>Latvia</x:v>
      </x:c>
      <x:c r="D300" t="str">
        <x:v>Sofia</x:v>
      </x:c>
      <x:c r="E300" t="str">
        <x:v>Subscription</x:v>
      </x:c>
      <x:c r="F300" t="str">
        <x:v>Starter Kit</x:v>
      </x:c>
      <x:c r="G300" t="n">
        <x:v>1</x:v>
      </x:c>
      <x:c r="H300" s="40" t="n">
        <x:v>49.71</x:v>
      </x:c>
      <x:c r="I300" s="66" t="n">
        <x:v>0.05</x:v>
      </x:c>
      <x:c r="J300" s="40" t="n">
        <x:v>47.22</x:v>
      </x:c>
      <x:c r="K300" s="40" t="n">
        <x:v>20</x:v>
      </x:c>
      <x:c r="L300" s="40" t="n">
        <x:v>27.22</x:v>
      </x:c>
    </x:row>
    <x:row r="301">
      <x:c r="A301" s="38" t="n">
        <x:v>46032</x:v>
      </x:c>
      <x:c r="B301" t="str">
        <x:v>2026-01</x:v>
      </x:c>
      <x:c r="C301" t="str">
        <x:v>Latvia</x:v>
      </x:c>
      <x:c r="D301" t="str">
        <x:v>Anna</x:v>
      </x:c>
      <x:c r="E301" t="str">
        <x:v>Digital</x:v>
      </x:c>
      <x:c r="F301" t="str">
        <x:v>Dashboard Template</x:v>
      </x:c>
      <x:c r="G301" t="n">
        <x:v>8</x:v>
      </x:c>
      <x:c r="H301" s="40" t="n">
        <x:v>72.69</x:v>
      </x:c>
      <x:c r="I301" s="66" t="n">
        <x:v>0</x:v>
      </x:c>
      <x:c r="J301" s="40" t="n">
        <x:v>581.52</x:v>
      </x:c>
      <x:c r="K301" s="40" t="n">
        <x:v>64</x:v>
      </x:c>
      <x:c r="L301" s="40" t="n">
        <x:v>517.52</x:v>
      </x:c>
    </x:row>
    <x:row r="302">
      <x:c r="A302" s="38" t="n">
        <x:v>46128</x:v>
      </x:c>
      <x:c r="B302" t="str">
        <x:v>2026-04</x:v>
      </x:c>
      <x:c r="C302" t="str">
        <x:v>Lithuania</x:v>
      </x:c>
      <x:c r="D302" t="str">
        <x:v>Elena</x:v>
      </x:c>
      <x:c r="E302" t="str">
        <x:v>Services</x:v>
      </x:c>
      <x:c r="F302" t="str">
        <x:v>Consulting 1h</x:v>
      </x:c>
      <x:c r="G302" t="n">
        <x:v>3</x:v>
      </x:c>
      <x:c r="H302" s="40" t="n">
        <x:v>142.57</x:v>
      </x:c>
      <x:c r="I302" s="66" t="n">
        <x:v>0</x:v>
      </x:c>
      <x:c r="J302" s="40" t="n">
        <x:v>427.71</x:v>
      </x:c>
      <x:c r="K302" s="40" t="n">
        <x:v>165</x:v>
      </x:c>
      <x:c r="L302" s="40" t="n">
        <x:v>262.71</x:v>
      </x:c>
    </x:row>
    <x:row r="303">
      <x:c r="A303" s="38" t="n">
        <x:v>46180</x:v>
      </x:c>
      <x:c r="B303" t="str">
        <x:v>2026-06</x:v>
      </x:c>
      <x:c r="C303" t="str">
        <x:v>Poland</x:v>
      </x:c>
      <x:c r="D303" t="str">
        <x:v>Elena</x:v>
      </x:c>
      <x:c r="E303" t="str">
        <x:v>Digital</x:v>
      </x:c>
      <x:c r="F303" t="str">
        <x:v>Dashboard Template</x:v>
      </x:c>
      <x:c r="G303" t="n">
        <x:v>7</x:v>
      </x:c>
      <x:c r="H303" s="40" t="n">
        <x:v>62.68</x:v>
      </x:c>
      <x:c r="I303" s="66" t="n">
        <x:v>0</x:v>
      </x:c>
      <x:c r="J303" s="40" t="n">
        <x:v>438.76</x:v>
      </x:c>
      <x:c r="K303" s="40" t="n">
        <x:v>56</x:v>
      </x:c>
      <x:c r="L303" s="40" t="n">
        <x:v>382.76</x:v>
      </x:c>
    </x:row>
    <x:row r="304">
      <x:c r="A304" s="38" t="n">
        <x:v>46096</x:v>
      </x:c>
      <x:c r="B304" t="str">
        <x:v>2026-03</x:v>
      </x:c>
      <x:c r="C304" t="str">
        <x:v>Estonia</x:v>
      </x:c>
      <x:c r="D304" t="str">
        <x:v>Anna</x:v>
      </x:c>
      <x:c r="E304" t="str">
        <x:v>Digital</x:v>
      </x:c>
      <x:c r="F304" t="str">
        <x:v>Dashboard Template</x:v>
      </x:c>
      <x:c r="G304" t="n">
        <x:v>6</x:v>
      </x:c>
      <x:c r="H304" s="40" t="n">
        <x:v>65.56</x:v>
      </x:c>
      <x:c r="I304" s="66" t="n">
        <x:v>0.1</x:v>
      </x:c>
      <x:c r="J304" s="40" t="n">
        <x:v>354.02</x:v>
      </x:c>
      <x:c r="K304" s="40" t="n">
        <x:v>48</x:v>
      </x:c>
      <x:c r="L304" s="40" t="n">
        <x:v>306.02</x:v>
      </x:c>
    </x:row>
    <x:row r="305">
      <x:c r="A305" s="38" t="n">
        <x:v>46052</x:v>
      </x:c>
      <x:c r="B305" t="str">
        <x:v>2026-01</x:v>
      </x:c>
      <x:c r="C305" t="str">
        <x:v>Poland</x:v>
      </x:c>
      <x:c r="D305" t="str">
        <x:v>Anna</x:v>
      </x:c>
      <x:c r="E305" t="str">
        <x:v>Digital</x:v>
      </x:c>
      <x:c r="F305" t="str">
        <x:v>CRM Template</x:v>
      </x:c>
      <x:c r="G305" t="n">
        <x:v>5</x:v>
      </x:c>
      <x:c r="H305" s="40" t="n">
        <x:v>87.91</x:v>
      </x:c>
      <x:c r="I305" s="66" t="n">
        <x:v>0.1</x:v>
      </x:c>
      <x:c r="J305" s="40" t="n">
        <x:v>395.59</x:v>
      </x:c>
      <x:c r="K305" s="40" t="n">
        <x:v>50</x:v>
      </x:c>
      <x:c r="L305" s="40" t="n">
        <x:v>345.59</x:v>
      </x:c>
    </x:row>
    <x:row r="306">
      <x:c r="A306" s="38" t="n">
        <x:v>46120</x:v>
      </x:c>
      <x:c r="B306" t="str">
        <x:v>2026-04</x:v>
      </x:c>
      <x:c r="C306" t="str">
        <x:v>Finland</x:v>
      </x:c>
      <x:c r="D306" t="str">
        <x:v>Anna</x:v>
      </x:c>
      <x:c r="E306" t="str">
        <x:v>Services</x:v>
      </x:c>
      <x:c r="F306" t="str">
        <x:v>Consulting 1h</x:v>
      </x:c>
      <x:c r="G306" t="n">
        <x:v>4</x:v>
      </x:c>
      <x:c r="H306" s="40" t="n">
        <x:v>164.04</x:v>
      </x:c>
      <x:c r="I306" s="66" t="n">
        <x:v>0</x:v>
      </x:c>
      <x:c r="J306" s="40" t="n">
        <x:v>656.16</x:v>
      </x:c>
      <x:c r="K306" s="40" t="n">
        <x:v>220</x:v>
      </x:c>
      <x:c r="L306" s="40" t="n">
        <x:v>436.16</x:v>
      </x:c>
    </x:row>
    <x:row r="307">
      <x:c r="A307" s="38" t="n">
        <x:v>46123</x:v>
      </x:c>
      <x:c r="B307" t="str">
        <x:v>2026-04</x:v>
      </x:c>
      <x:c r="C307" t="str">
        <x:v>Finland</x:v>
      </x:c>
      <x:c r="D307" t="str">
        <x:v>Maria</x:v>
      </x:c>
      <x:c r="E307" t="str">
        <x:v>Subscription</x:v>
      </x:c>
      <x:c r="F307" t="str">
        <x:v>Starter Kit</x:v>
      </x:c>
      <x:c r="G307" t="n">
        <x:v>3</x:v>
      </x:c>
      <x:c r="H307" s="40" t="n">
        <x:v>54.65</x:v>
      </x:c>
      <x:c r="I307" s="66" t="n">
        <x:v>0.15</x:v>
      </x:c>
      <x:c r="J307" s="40" t="n">
        <x:v>139.36</x:v>
      </x:c>
      <x:c r="K307" s="40" t="n">
        <x:v>60</x:v>
      </x:c>
      <x:c r="L307" s="40" t="n">
        <x:v>79.36</x:v>
      </x:c>
    </x:row>
    <x:row r="308">
      <x:c r="A308" s="38" t="n">
        <x:v>46108</x:v>
      </x:c>
      <x:c r="B308" t="str">
        <x:v>2026-03</x:v>
      </x:c>
      <x:c r="C308" t="str">
        <x:v>Lithuania</x:v>
      </x:c>
      <x:c r="D308" t="str">
        <x:v>Maria</x:v>
      </x:c>
      <x:c r="E308" t="str">
        <x:v>Services</x:v>
      </x:c>
      <x:c r="F308" t="str">
        <x:v>Consulting 1h</x:v>
      </x:c>
      <x:c r="G308" t="n">
        <x:v>7</x:v>
      </x:c>
      <x:c r="H308" s="40" t="n">
        <x:v>163.38</x:v>
      </x:c>
      <x:c r="I308" s="66" t="n">
        <x:v>0</x:v>
      </x:c>
      <x:c r="J308" s="40" t="n">
        <x:v>1143.66</x:v>
      </x:c>
      <x:c r="K308" s="40" t="n">
        <x:v>385</x:v>
      </x:c>
      <x:c r="L308" s="40" t="n">
        <x:v>758.66</x:v>
      </x:c>
    </x:row>
    <x:row r="309">
      <x:c r="A309" s="38" t="n">
        <x:v>46138</x:v>
      </x:c>
      <x:c r="B309" t="str">
        <x:v>2026-04</x:v>
      </x:c>
      <x:c r="C309" t="str">
        <x:v>Poland</x:v>
      </x:c>
      <x:c r="D309" t="str">
        <x:v>Olga</x:v>
      </x:c>
      <x:c r="E309" t="str">
        <x:v>Education</x:v>
      </x:c>
      <x:c r="F309" t="str">
        <x:v>Training Session</x:v>
      </x:c>
      <x:c r="G309" t="n">
        <x:v>2</x:v>
      </x:c>
      <x:c r="H309" s="40" t="n">
        <x:v>233.6</x:v>
      </x:c>
      <x:c r="I309" s="66" t="n">
        <x:v>0</x:v>
      </x:c>
      <x:c r="J309" s="40" t="n">
        <x:v>467.2</x:v>
      </x:c>
      <x:c r="K309" s="40" t="n">
        <x:v>140</x:v>
      </x:c>
      <x:c r="L309" s="40" t="n">
        <x:v>327.2</x:v>
      </x:c>
    </x:row>
    <x:row r="310">
      <x:c r="A310" s="38" t="n">
        <x:v>46196</x:v>
      </x:c>
      <x:c r="B310" t="str">
        <x:v>2026-06</x:v>
      </x:c>
      <x:c r="C310" t="str">
        <x:v>Estonia</x:v>
      </x:c>
      <x:c r="D310" t="str">
        <x:v>Elena</x:v>
      </x:c>
      <x:c r="E310" t="str">
        <x:v>Digital</x:v>
      </x:c>
      <x:c r="F310" t="str">
        <x:v>Dashboard Template</x:v>
      </x:c>
      <x:c r="G310" t="n">
        <x:v>4</x:v>
      </x:c>
      <x:c r="H310" s="40" t="n">
        <x:v>76</x:v>
      </x:c>
      <x:c r="I310" s="66" t="n">
        <x:v>0</x:v>
      </x:c>
      <x:c r="J310" s="40" t="n">
        <x:v>304</x:v>
      </x:c>
      <x:c r="K310" s="40" t="n">
        <x:v>32</x:v>
      </x:c>
      <x:c r="L310" s="40" t="n">
        <x:v>272</x:v>
      </x:c>
    </x:row>
    <x:row r="311">
      <x:c r="A311" s="38" t="n">
        <x:v>46181</x:v>
      </x:c>
      <x:c r="B311" t="str">
        <x:v>2026-06</x:v>
      </x:c>
      <x:c r="C311" t="str">
        <x:v>Latvia</x:v>
      </x:c>
      <x:c r="D311" t="str">
        <x:v>Maria</x:v>
      </x:c>
      <x:c r="E311" t="str">
        <x:v>Digital</x:v>
      </x:c>
      <x:c r="F311" t="str">
        <x:v>Dashboard Template</x:v>
      </x:c>
      <x:c r="G311" t="n">
        <x:v>8</x:v>
      </x:c>
      <x:c r="H311" s="40" t="n">
        <x:v>79.01</x:v>
      </x:c>
      <x:c r="I311" s="66" t="n">
        <x:v>0.1</x:v>
      </x:c>
      <x:c r="J311" s="40" t="n">
        <x:v>568.87</x:v>
      </x:c>
      <x:c r="K311" s="40" t="n">
        <x:v>64</x:v>
      </x:c>
      <x:c r="L311" s="40" t="n">
        <x:v>504.87</x:v>
      </x:c>
    </x:row>
    <x:row r="312">
      <x:c r="A312" s="38" t="n">
        <x:v>46071</x:v>
      </x:c>
      <x:c r="B312" t="str">
        <x:v>2026-02</x:v>
      </x:c>
      <x:c r="C312" t="str">
        <x:v>Lithuania</x:v>
      </x:c>
      <x:c r="D312" t="str">
        <x:v>Olga</x:v>
      </x:c>
      <x:c r="E312" t="str">
        <x:v>Education</x:v>
      </x:c>
      <x:c r="F312" t="str">
        <x:v>Training Session</x:v>
      </x:c>
      <x:c r="G312" t="n">
        <x:v>5</x:v>
      </x:c>
      <x:c r="H312" s="40" t="n">
        <x:v>237.88</x:v>
      </x:c>
      <x:c r="I312" s="66" t="n">
        <x:v>0.05</x:v>
      </x:c>
      <x:c r="J312" s="40" t="n">
        <x:v>1129.93</x:v>
      </x:c>
      <x:c r="K312" s="40" t="n">
        <x:v>350</x:v>
      </x:c>
      <x:c r="L312" s="40" t="n">
        <x:v>779.93</x:v>
      </x:c>
    </x:row>
    <x:row r="313">
      <x:c r="A313" s="38" t="n">
        <x:v>46144</x:v>
      </x:c>
      <x:c r="B313" t="str">
        <x:v>2026-05</x:v>
      </x:c>
      <x:c r="C313" t="str">
        <x:v>Poland</x:v>
      </x:c>
      <x:c r="D313" t="str">
        <x:v>Sofia</x:v>
      </x:c>
      <x:c r="E313" t="str">
        <x:v>Subscription</x:v>
      </x:c>
      <x:c r="F313" t="str">
        <x:v>Pro Plan</x:v>
      </x:c>
      <x:c r="G313" t="n">
        <x:v>7</x:v>
      </x:c>
      <x:c r="H313" s="40" t="n">
        <x:v>143</x:v>
      </x:c>
      <x:c r="I313" s="66" t="n">
        <x:v>0.1</x:v>
      </x:c>
      <x:c r="J313" s="40" t="n">
        <x:v>900.9</x:v>
      </x:c>
      <x:c r="K313" s="40" t="n">
        <x:v>315</x:v>
      </x:c>
      <x:c r="L313" s="40" t="n">
        <x:v>585.9</x:v>
      </x:c>
    </x:row>
    <x:row r="314">
      <x:c r="A314" s="38" t="n">
        <x:v>46159</x:v>
      </x:c>
      <x:c r="B314" t="str">
        <x:v>2026-05</x:v>
      </x:c>
      <x:c r="C314" t="str">
        <x:v>Poland</x:v>
      </x:c>
      <x:c r="D314" t="str">
        <x:v>Olga</x:v>
      </x:c>
      <x:c r="E314" t="str">
        <x:v>Digital</x:v>
      </x:c>
      <x:c r="F314" t="str">
        <x:v>CRM Template</x:v>
      </x:c>
      <x:c r="G314" t="n">
        <x:v>7</x:v>
      </x:c>
      <x:c r="H314" s="40" t="n">
        <x:v>81.76</x:v>
      </x:c>
      <x:c r="I314" s="66" t="n">
        <x:v>0.05</x:v>
      </x:c>
      <x:c r="J314" s="40" t="n">
        <x:v>543.7</x:v>
      </x:c>
      <x:c r="K314" s="40" t="n">
        <x:v>70</x:v>
      </x:c>
      <x:c r="L314" s="40" t="n">
        <x:v>473.7</x:v>
      </x:c>
    </x:row>
    <x:row r="315">
      <x:c r="A315" s="38" t="n">
        <x:v>46156</x:v>
      </x:c>
      <x:c r="B315" t="str">
        <x:v>2026-05</x:v>
      </x:c>
      <x:c r="C315" t="str">
        <x:v>Estonia</x:v>
      </x:c>
      <x:c r="D315" t="str">
        <x:v>Maria</x:v>
      </x:c>
      <x:c r="E315" t="str">
        <x:v>Digital</x:v>
      </x:c>
      <x:c r="F315" t="str">
        <x:v>CRM Template</x:v>
      </x:c>
      <x:c r="G315" t="n">
        <x:v>4</x:v>
      </x:c>
      <x:c r="H315" s="40" t="n">
        <x:v>87.96</x:v>
      </x:c>
      <x:c r="I315" s="66" t="n">
        <x:v>0.05</x:v>
      </x:c>
      <x:c r="J315" s="40" t="n">
        <x:v>334.25</x:v>
      </x:c>
      <x:c r="K315" s="40" t="n">
        <x:v>40</x:v>
      </x:c>
      <x:c r="L315" s="40" t="n">
        <x:v>294.25</x:v>
      </x:c>
    </x:row>
    <x:row r="316">
      <x:c r="A316" s="38" t="n">
        <x:v>46134</x:v>
      </x:c>
      <x:c r="B316" t="str">
        <x:v>2026-04</x:v>
      </x:c>
      <x:c r="C316" t="str">
        <x:v>Poland</x:v>
      </x:c>
      <x:c r="D316" t="str">
        <x:v>Maria</x:v>
      </x:c>
      <x:c r="E316" t="str">
        <x:v>Services</x:v>
      </x:c>
      <x:c r="F316" t="str">
        <x:v>Consulting 1h</x:v>
      </x:c>
      <x:c r="G316" t="n">
        <x:v>4</x:v>
      </x:c>
      <x:c r="H316" s="40" t="n">
        <x:v>142.68</x:v>
      </x:c>
      <x:c r="I316" s="66" t="n">
        <x:v>0</x:v>
      </x:c>
      <x:c r="J316" s="40" t="n">
        <x:v>570.72</x:v>
      </x:c>
      <x:c r="K316" s="40" t="n">
        <x:v>220</x:v>
      </x:c>
      <x:c r="L316" s="40" t="n">
        <x:v>350.72</x:v>
      </x:c>
    </x:row>
    <x:row r="317">
      <x:c r="A317" s="38" t="n">
        <x:v>46078</x:v>
      </x:c>
      <x:c r="B317" t="str">
        <x:v>2026-02</x:v>
      </x:c>
      <x:c r="C317" t="str">
        <x:v>Finland</x:v>
      </x:c>
      <x:c r="D317" t="str">
        <x:v>Elena</x:v>
      </x:c>
      <x:c r="E317" t="str">
        <x:v>Services</x:v>
      </x:c>
      <x:c r="F317" t="str">
        <x:v>Consulting 1h</x:v>
      </x:c>
      <x:c r="G317" t="n">
        <x:v>2</x:v>
      </x:c>
      <x:c r="H317" s="40" t="n">
        <x:v>148.39</x:v>
      </x:c>
      <x:c r="I317" s="66" t="n">
        <x:v>0.05</x:v>
      </x:c>
      <x:c r="J317" s="40" t="n">
        <x:v>281.94</x:v>
      </x:c>
      <x:c r="K317" s="40" t="n">
        <x:v>110</x:v>
      </x:c>
      <x:c r="L317" s="40" t="n">
        <x:v>171.94</x:v>
      </x:c>
    </x:row>
    <x:row r="318">
      <x:c r="A318" s="38" t="n">
        <x:v>46154</x:v>
      </x:c>
      <x:c r="B318" t="str">
        <x:v>2026-05</x:v>
      </x:c>
      <x:c r="C318" t="str">
        <x:v>Latvia</x:v>
      </x:c>
      <x:c r="D318" t="str">
        <x:v>Sofia</x:v>
      </x:c>
      <x:c r="E318" t="str">
        <x:v>Education</x:v>
      </x:c>
      <x:c r="F318" t="str">
        <x:v>Training Session</x:v>
      </x:c>
      <x:c r="G318" t="n">
        <x:v>1</x:v>
      </x:c>
      <x:c r="H318" s="40" t="n">
        <x:v>228.55</x:v>
      </x:c>
      <x:c r="I318" s="66" t="n">
        <x:v>0.15</x:v>
      </x:c>
      <x:c r="J318" s="40" t="n">
        <x:v>194.27</x:v>
      </x:c>
      <x:c r="K318" s="40" t="n">
        <x:v>70</x:v>
      </x:c>
      <x:c r="L318" s="40" t="n">
        <x:v>124.27</x:v>
      </x:c>
    </x:row>
    <x:row r="319">
      <x:c r="A319" s="38" t="n">
        <x:v>46187</x:v>
      </x:c>
      <x:c r="B319" t="str">
        <x:v>2026-06</x:v>
      </x:c>
      <x:c r="C319" t="str">
        <x:v>Finland</x:v>
      </x:c>
      <x:c r="D319" t="str">
        <x:v>Maria</x:v>
      </x:c>
      <x:c r="E319" t="str">
        <x:v>Services</x:v>
      </x:c>
      <x:c r="F319" t="str">
        <x:v>Setup Package</x:v>
      </x:c>
      <x:c r="G319" t="n">
        <x:v>2</x:v>
      </x:c>
      <x:c r="H319" s="40" t="n">
        <x:v>400.84</x:v>
      </x:c>
      <x:c r="I319" s="66" t="n">
        <x:v>0.15</x:v>
      </x:c>
      <x:c r="J319" s="40" t="n">
        <x:v>681.43</x:v>
      </x:c>
      <x:c r="K319" s="40" t="n">
        <x:v>320</x:v>
      </x:c>
      <x:c r="L319" s="40" t="n">
        <x:v>361.43</x:v>
      </x:c>
    </x:row>
    <x:row r="320">
      <x:c r="A320" s="38" t="n">
        <x:v>46199</x:v>
      </x:c>
      <x:c r="B320" t="str">
        <x:v>2026-06</x:v>
      </x:c>
      <x:c r="C320" t="str">
        <x:v>Latvia</x:v>
      </x:c>
      <x:c r="D320" t="str">
        <x:v>Anna</x:v>
      </x:c>
      <x:c r="E320" t="str">
        <x:v>Digital</x:v>
      </x:c>
      <x:c r="F320" t="str">
        <x:v>CRM Template</x:v>
      </x:c>
      <x:c r="G320" t="n">
        <x:v>3</x:v>
      </x:c>
      <x:c r="H320" s="40" t="n">
        <x:v>86.2</x:v>
      </x:c>
      <x:c r="I320" s="66" t="n">
        <x:v>0.15</x:v>
      </x:c>
      <x:c r="J320" s="40" t="n">
        <x:v>219.81</x:v>
      </x:c>
      <x:c r="K320" s="40" t="n">
        <x:v>30</x:v>
      </x:c>
      <x:c r="L320" s="40" t="n">
        <x:v>189.81</x:v>
      </x:c>
    </x:row>
    <x:row r="321">
      <x:c r="A321" s="38" t="n">
        <x:v>46190</x:v>
      </x:c>
      <x:c r="B321" t="str">
        <x:v>2026-06</x:v>
      </x:c>
      <x:c r="C321" t="str">
        <x:v>Estonia</x:v>
      </x:c>
      <x:c r="D321" t="str">
        <x:v>Anna</x:v>
      </x:c>
      <x:c r="E321" t="str">
        <x:v>Subscription</x:v>
      </x:c>
      <x:c r="F321" t="str">
        <x:v>Starter Kit</x:v>
      </x:c>
      <x:c r="G321" t="n">
        <x:v>6</x:v>
      </x:c>
      <x:c r="H321" s="40" t="n">
        <x:v>47.36</x:v>
      </x:c>
      <x:c r="I321" s="66" t="n">
        <x:v>0</x:v>
      </x:c>
      <x:c r="J321" s="40" t="n">
        <x:v>284.16</x:v>
      </x:c>
      <x:c r="K321" s="40" t="n">
        <x:v>120</x:v>
      </x:c>
      <x:c r="L321" s="40" t="n">
        <x:v>164.16</x:v>
      </x:c>
    </x:row>
    <x:row r="322">
      <x:c r="A322" s="38" t="n">
        <x:v>46129</x:v>
      </x:c>
      <x:c r="B322" t="str">
        <x:v>2026-04</x:v>
      </x:c>
      <x:c r="C322" t="str">
        <x:v>Lithuania</x:v>
      </x:c>
      <x:c r="D322" t="str">
        <x:v>Maria</x:v>
      </x:c>
      <x:c r="E322" t="str">
        <x:v>Subscription</x:v>
      </x:c>
      <x:c r="F322" t="str">
        <x:v>Pro Plan</x:v>
      </x:c>
      <x:c r="G322" t="n">
        <x:v>4</x:v>
      </x:c>
      <x:c r="H322" s="40" t="n">
        <x:v>125.16</x:v>
      </x:c>
      <x:c r="I322" s="66" t="n">
        <x:v>0.15</x:v>
      </x:c>
      <x:c r="J322" s="40" t="n">
        <x:v>425.54</x:v>
      </x:c>
      <x:c r="K322" s="40" t="n">
        <x:v>180</x:v>
      </x:c>
      <x:c r="L322" s="40" t="n">
        <x:v>245.54</x:v>
      </x:c>
    </x:row>
    <x:row r="323">
      <x:c r="A323" s="38" t="n">
        <x:v>46052</x:v>
      </x:c>
      <x:c r="B323" t="str">
        <x:v>2026-01</x:v>
      </x:c>
      <x:c r="C323" t="str">
        <x:v>Finland</x:v>
      </x:c>
      <x:c r="D323" t="str">
        <x:v>Olga</x:v>
      </x:c>
      <x:c r="E323" t="str">
        <x:v>Digital</x:v>
      </x:c>
      <x:c r="F323" t="str">
        <x:v>Dashboard Template</x:v>
      </x:c>
      <x:c r="G323" t="n">
        <x:v>1</x:v>
      </x:c>
      <x:c r="H323" s="40" t="n">
        <x:v>76.41</x:v>
      </x:c>
      <x:c r="I323" s="66" t="n">
        <x:v>0.05</x:v>
      </x:c>
      <x:c r="J323" s="40" t="n">
        <x:v>72.59</x:v>
      </x:c>
      <x:c r="K323" s="40" t="n">
        <x:v>8</x:v>
      </x:c>
      <x:c r="L323" s="40" t="n">
        <x:v>64.59</x:v>
      </x:c>
    </x:row>
    <x:row r="324">
      <x:c r="A324" s="38" t="n">
        <x:v>46179</x:v>
      </x:c>
      <x:c r="B324" t="str">
        <x:v>2026-06</x:v>
      </x:c>
      <x:c r="C324" t="str">
        <x:v>Lithuania</x:v>
      </x:c>
      <x:c r="D324" t="str">
        <x:v>Elena</x:v>
      </x:c>
      <x:c r="E324" t="str">
        <x:v>Subscription</x:v>
      </x:c>
      <x:c r="F324" t="str">
        <x:v>Starter Kit</x:v>
      </x:c>
      <x:c r="G324" t="n">
        <x:v>7</x:v>
      </x:c>
      <x:c r="H324" s="40" t="n">
        <x:v>48.39</x:v>
      </x:c>
      <x:c r="I324" s="66" t="n">
        <x:v>0.05</x:v>
      </x:c>
      <x:c r="J324" s="40" t="n">
        <x:v>321.79</x:v>
      </x:c>
      <x:c r="K324" s="40" t="n">
        <x:v>140</x:v>
      </x:c>
      <x:c r="L324" s="40" t="n">
        <x:v>181.79</x:v>
      </x:c>
    </x:row>
    <x:row r="325">
      <x:c r="A325" s="38" t="n">
        <x:v>46115</x:v>
      </x:c>
      <x:c r="B325" t="str">
        <x:v>2026-04</x:v>
      </x:c>
      <x:c r="C325" t="str">
        <x:v>Latvia</x:v>
      </x:c>
      <x:c r="D325" t="str">
        <x:v>Olga</x:v>
      </x:c>
      <x:c r="E325" t="str">
        <x:v>Subscription</x:v>
      </x:c>
      <x:c r="F325" t="str">
        <x:v>Starter Kit</x:v>
      </x:c>
      <x:c r="G325" t="n">
        <x:v>3</x:v>
      </x:c>
      <x:c r="H325" s="40" t="n">
        <x:v>45.57</x:v>
      </x:c>
      <x:c r="I325" s="66" t="n">
        <x:v>0.15</x:v>
      </x:c>
      <x:c r="J325" s="40" t="n">
        <x:v>116.2</x:v>
      </x:c>
      <x:c r="K325" s="40" t="n">
        <x:v>60</x:v>
      </x:c>
      <x:c r="L325" s="40" t="n">
        <x:v>56.2</x:v>
      </x:c>
    </x:row>
    <x:row r="326">
      <x:c r="A326" s="38" t="n">
        <x:v>46114</x:v>
      </x:c>
      <x:c r="B326" t="str">
        <x:v>2026-04</x:v>
      </x:c>
      <x:c r="C326" t="str">
        <x:v>Latvia</x:v>
      </x:c>
      <x:c r="D326" t="str">
        <x:v>Anna</x:v>
      </x:c>
      <x:c r="E326" t="str">
        <x:v>Subscription</x:v>
      </x:c>
      <x:c r="F326" t="str">
        <x:v>Pro Plan</x:v>
      </x:c>
      <x:c r="G326" t="n">
        <x:v>1</x:v>
      </x:c>
      <x:c r="H326" s="40" t="n">
        <x:v>123.07</x:v>
      </x:c>
      <x:c r="I326" s="66" t="n">
        <x:v>0.15</x:v>
      </x:c>
      <x:c r="J326" s="40" t="n">
        <x:v>104.61</x:v>
      </x:c>
      <x:c r="K326" s="40" t="n">
        <x:v>45</x:v>
      </x:c>
      <x:c r="L326" s="40" t="n">
        <x:v>59.61</x:v>
      </x:c>
    </x:row>
    <x:row r="327">
      <x:c r="A327" s="38" t="n">
        <x:v>46180</x:v>
      </x:c>
      <x:c r="B327" t="str">
        <x:v>2026-06</x:v>
      </x:c>
      <x:c r="C327" t="str">
        <x:v>Finland</x:v>
      </x:c>
      <x:c r="D327" t="str">
        <x:v>Anna</x:v>
      </x:c>
      <x:c r="E327" t="str">
        <x:v>Education</x:v>
      </x:c>
      <x:c r="F327" t="str">
        <x:v>Training Session</x:v>
      </x:c>
      <x:c r="G327" t="n">
        <x:v>5</x:v>
      </x:c>
      <x:c r="H327" s="40" t="n">
        <x:v>206.16</x:v>
      </x:c>
      <x:c r="I327" s="66" t="n">
        <x:v>0.15</x:v>
      </x:c>
      <x:c r="J327" s="40" t="n">
        <x:v>876.18</x:v>
      </x:c>
      <x:c r="K327" s="40" t="n">
        <x:v>350</x:v>
      </x:c>
      <x:c r="L327" s="40" t="n">
        <x:v>526.18</x:v>
      </x:c>
    </x:row>
    <x:row r="328">
      <x:c r="A328" s="38" t="n">
        <x:v>46168</x:v>
      </x:c>
      <x:c r="B328" t="str">
        <x:v>2026-05</x:v>
      </x:c>
      <x:c r="C328" t="str">
        <x:v>Finland</x:v>
      </x:c>
      <x:c r="D328" t="str">
        <x:v>Olga</x:v>
      </x:c>
      <x:c r="E328" t="str">
        <x:v>Services</x:v>
      </x:c>
      <x:c r="F328" t="str">
        <x:v>Consulting 1h</x:v>
      </x:c>
      <x:c r="G328" t="n">
        <x:v>2</x:v>
      </x:c>
      <x:c r="H328" s="40" t="n">
        <x:v>153.33</x:v>
      </x:c>
      <x:c r="I328" s="66" t="n">
        <x:v>0.15</x:v>
      </x:c>
      <x:c r="J328" s="40" t="n">
        <x:v>260.66</x:v>
      </x:c>
      <x:c r="K328" s="40" t="n">
        <x:v>110</x:v>
      </x:c>
      <x:c r="L328" s="40" t="n">
        <x:v>150.66</x:v>
      </x:c>
    </x:row>
    <x:row r="329">
      <x:c r="A329" s="38" t="n">
        <x:v>46172</x:v>
      </x:c>
      <x:c r="B329" t="str">
        <x:v>2026-05</x:v>
      </x:c>
      <x:c r="C329" t="str">
        <x:v>Poland</x:v>
      </x:c>
      <x:c r="D329" t="str">
        <x:v>Daria</x:v>
      </x:c>
      <x:c r="E329" t="str">
        <x:v>Services</x:v>
      </x:c>
      <x:c r="F329" t="str">
        <x:v>Setup Package</x:v>
      </x:c>
      <x:c r="G329" t="n">
        <x:v>2</x:v>
      </x:c>
      <x:c r="H329" s="40" t="n">
        <x:v>408.08</x:v>
      </x:c>
      <x:c r="I329" s="66" t="n">
        <x:v>0.15</x:v>
      </x:c>
      <x:c r="J329" s="40" t="n">
        <x:v>693.74</x:v>
      </x:c>
      <x:c r="K329" s="40" t="n">
        <x:v>320</x:v>
      </x:c>
      <x:c r="L329" s="40" t="n">
        <x:v>373.74</x:v>
      </x:c>
    </x:row>
    <x:row r="330">
      <x:c r="A330" s="38" t="n">
        <x:v>46168</x:v>
      </x:c>
      <x:c r="B330" t="str">
        <x:v>2026-05</x:v>
      </x:c>
      <x:c r="C330" t="str">
        <x:v>Finland</x:v>
      </x:c>
      <x:c r="D330" t="str">
        <x:v>Olga</x:v>
      </x:c>
      <x:c r="E330" t="str">
        <x:v>Subscription</x:v>
      </x:c>
      <x:c r="F330" t="str">
        <x:v>Pro Plan</x:v>
      </x:c>
      <x:c r="G330" t="n">
        <x:v>1</x:v>
      </x:c>
      <x:c r="H330" s="40" t="n">
        <x:v>132.43</x:v>
      </x:c>
      <x:c r="I330" s="66" t="n">
        <x:v>0.15</x:v>
      </x:c>
      <x:c r="J330" s="40" t="n">
        <x:v>112.57</x:v>
      </x:c>
      <x:c r="K330" s="40" t="n">
        <x:v>45</x:v>
      </x:c>
      <x:c r="L330" s="40" t="n">
        <x:v>67.57</x:v>
      </x:c>
    </x:row>
    <x:row r="331">
      <x:c r="A331" s="38" t="n">
        <x:v>46036</x:v>
      </x:c>
      <x:c r="B331" t="str">
        <x:v>2026-01</x:v>
      </x:c>
      <x:c r="C331" t="str">
        <x:v>Poland</x:v>
      </x:c>
      <x:c r="D331" t="str">
        <x:v>Maria</x:v>
      </x:c>
      <x:c r="E331" t="str">
        <x:v>Digital</x:v>
      </x:c>
      <x:c r="F331" t="str">
        <x:v>CRM Template</x:v>
      </x:c>
      <x:c r="G331" t="n">
        <x:v>1</x:v>
      </x:c>
      <x:c r="H331" s="40" t="n">
        <x:v>80.73</x:v>
      </x:c>
      <x:c r="I331" s="66" t="n">
        <x:v>0.15</x:v>
      </x:c>
      <x:c r="J331" s="40" t="n">
        <x:v>68.62</x:v>
      </x:c>
      <x:c r="K331" s="40" t="n">
        <x:v>10</x:v>
      </x:c>
      <x:c r="L331" s="40" t="n">
        <x:v>58.62</x:v>
      </x:c>
    </x:row>
    <x:row r="332">
      <x:c r="A332" s="38" t="n">
        <x:v>46163</x:v>
      </x:c>
      <x:c r="B332" t="str">
        <x:v>2026-05</x:v>
      </x:c>
      <x:c r="C332" t="str">
        <x:v>Lithuania</x:v>
      </x:c>
      <x:c r="D332" t="str">
        <x:v>Sofia</x:v>
      </x:c>
      <x:c r="E332" t="str">
        <x:v>Subscription</x:v>
      </x:c>
      <x:c r="F332" t="str">
        <x:v>Starter Kit</x:v>
      </x:c>
      <x:c r="G332" t="n">
        <x:v>1</x:v>
      </x:c>
      <x:c r="H332" s="40" t="n">
        <x:v>55.76</x:v>
      </x:c>
      <x:c r="I332" s="66" t="n">
        <x:v>0.05</x:v>
      </x:c>
      <x:c r="J332" s="40" t="n">
        <x:v>52.97</x:v>
      </x:c>
      <x:c r="K332" s="40" t="n">
        <x:v>20</x:v>
      </x:c>
      <x:c r="L332" s="40" t="n">
        <x:v>32.97</x:v>
      </x:c>
    </x:row>
    <x:row r="333">
      <x:c r="A333" s="38" t="n">
        <x:v>46088</x:v>
      </x:c>
      <x:c r="B333" t="str">
        <x:v>2026-03</x:v>
      </x:c>
      <x:c r="C333" t="str">
        <x:v>Lithuania</x:v>
      </x:c>
      <x:c r="D333" t="str">
        <x:v>Elena</x:v>
      </x:c>
      <x:c r="E333" t="str">
        <x:v>Services</x:v>
      </x:c>
      <x:c r="F333" t="str">
        <x:v>Consulting 1h</x:v>
      </x:c>
      <x:c r="G333" t="n">
        <x:v>1</x:v>
      </x:c>
      <x:c r="H333" s="40" t="n">
        <x:v>169.57</x:v>
      </x:c>
      <x:c r="I333" s="66" t="n">
        <x:v>0</x:v>
      </x:c>
      <x:c r="J333" s="40" t="n">
        <x:v>169.57</x:v>
      </x:c>
      <x:c r="K333" s="40" t="n">
        <x:v>55</x:v>
      </x:c>
      <x:c r="L333" s="40" t="n">
        <x:v>114.57</x:v>
      </x:c>
    </x:row>
    <x:row r="334">
      <x:c r="A334" s="38" t="n">
        <x:v>46075</x:v>
      </x:c>
      <x:c r="B334" t="str">
        <x:v>2026-02</x:v>
      </x:c>
      <x:c r="C334" t="str">
        <x:v>Finland</x:v>
      </x:c>
      <x:c r="D334" t="str">
        <x:v>Maria</x:v>
      </x:c>
      <x:c r="E334" t="str">
        <x:v>Subscription</x:v>
      </x:c>
      <x:c r="F334" t="str">
        <x:v>Starter Kit</x:v>
      </x:c>
      <x:c r="G334" t="n">
        <x:v>7</x:v>
      </x:c>
      <x:c r="H334" s="40" t="n">
        <x:v>49.5</x:v>
      </x:c>
      <x:c r="I334" s="66" t="n">
        <x:v>0.1</x:v>
      </x:c>
      <x:c r="J334" s="40" t="n">
        <x:v>311.85</x:v>
      </x:c>
      <x:c r="K334" s="40" t="n">
        <x:v>140</x:v>
      </x:c>
      <x:c r="L334" s="40" t="n">
        <x:v>171.85</x:v>
      </x:c>
    </x:row>
    <x:row r="335">
      <x:c r="A335" s="38" t="n">
        <x:v>46132</x:v>
      </x:c>
      <x:c r="B335" t="str">
        <x:v>2026-04</x:v>
      </x:c>
      <x:c r="C335" t="str">
        <x:v>Poland</x:v>
      </x:c>
      <x:c r="D335" t="str">
        <x:v>Daria</x:v>
      </x:c>
      <x:c r="E335" t="str">
        <x:v>Education</x:v>
      </x:c>
      <x:c r="F335" t="str">
        <x:v>Training Session</x:v>
      </x:c>
      <x:c r="G335" t="n">
        <x:v>8</x:v>
      </x:c>
      <x:c r="H335" s="40" t="n">
        <x:v>215.17</x:v>
      </x:c>
      <x:c r="I335" s="66" t="n">
        <x:v>0.05</x:v>
      </x:c>
      <x:c r="J335" s="40" t="n">
        <x:v>1635.29</x:v>
      </x:c>
      <x:c r="K335" s="40" t="n">
        <x:v>560</x:v>
      </x:c>
      <x:c r="L335" s="40" t="n">
        <x:v>1075.29</x:v>
      </x:c>
    </x:row>
    <x:row r="336">
      <x:c r="A336" s="38" t="n">
        <x:v>46120</x:v>
      </x:c>
      <x:c r="B336" t="str">
        <x:v>2026-04</x:v>
      </x:c>
      <x:c r="C336" t="str">
        <x:v>Estonia</x:v>
      </x:c>
      <x:c r="D336" t="str">
        <x:v>Daria</x:v>
      </x:c>
      <x:c r="E336" t="str">
        <x:v>Subscription</x:v>
      </x:c>
      <x:c r="F336" t="str">
        <x:v>Starter Kit</x:v>
      </x:c>
      <x:c r="G336" t="n">
        <x:v>1</x:v>
      </x:c>
      <x:c r="H336" s="40" t="n">
        <x:v>52.49</x:v>
      </x:c>
      <x:c r="I336" s="66" t="n">
        <x:v>0.15</x:v>
      </x:c>
      <x:c r="J336" s="40" t="n">
        <x:v>44.62</x:v>
      </x:c>
      <x:c r="K336" s="40" t="n">
        <x:v>20</x:v>
      </x:c>
      <x:c r="L336" s="40" t="n">
        <x:v>24.62</x:v>
      </x:c>
    </x:row>
    <x:row r="337">
      <x:c r="A337" s="38" t="n">
        <x:v>46117</x:v>
      </x:c>
      <x:c r="B337" t="str">
        <x:v>2026-04</x:v>
      </x:c>
      <x:c r="C337" t="str">
        <x:v>Poland</x:v>
      </x:c>
      <x:c r="D337" t="str">
        <x:v>Maria</x:v>
      </x:c>
      <x:c r="E337" t="str">
        <x:v>Digital</x:v>
      </x:c>
      <x:c r="F337" t="str">
        <x:v>CRM Template</x:v>
      </x:c>
      <x:c r="G337" t="n">
        <x:v>3</x:v>
      </x:c>
      <x:c r="H337" s="40" t="n">
        <x:v>88.26</x:v>
      </x:c>
      <x:c r="I337" s="66" t="n">
        <x:v>0.15</x:v>
      </x:c>
      <x:c r="J337" s="40" t="n">
        <x:v>225.06</x:v>
      </x:c>
      <x:c r="K337" s="40" t="n">
        <x:v>30</x:v>
      </x:c>
      <x:c r="L337" s="40" t="n">
        <x:v>195.06</x:v>
      </x:c>
    </x:row>
    <x:row r="338">
      <x:c r="A338" s="38" t="n">
        <x:v>46090</x:v>
      </x:c>
      <x:c r="B338" t="str">
        <x:v>2026-03</x:v>
      </x:c>
      <x:c r="C338" t="str">
        <x:v>Latvia</x:v>
      </x:c>
      <x:c r="D338" t="str">
        <x:v>Sofia</x:v>
      </x:c>
      <x:c r="E338" t="str">
        <x:v>Subscription</x:v>
      </x:c>
      <x:c r="F338" t="str">
        <x:v>Starter Kit</x:v>
      </x:c>
      <x:c r="G338" t="n">
        <x:v>6</x:v>
      </x:c>
      <x:c r="H338" s="40" t="n">
        <x:v>53.21</x:v>
      </x:c>
      <x:c r="I338" s="66" t="n">
        <x:v>0</x:v>
      </x:c>
      <x:c r="J338" s="40" t="n">
        <x:v>319.26</x:v>
      </x:c>
      <x:c r="K338" s="40" t="n">
        <x:v>120</x:v>
      </x:c>
      <x:c r="L338" s="40" t="n">
        <x:v>199.26</x:v>
      </x:c>
    </x:row>
    <x:row r="339">
      <x:c r="A339" s="38" t="n">
        <x:v>46071</x:v>
      </x:c>
      <x:c r="B339" t="str">
        <x:v>2026-02</x:v>
      </x:c>
      <x:c r="C339" t="str">
        <x:v>Lithuania</x:v>
      </x:c>
      <x:c r="D339" t="str">
        <x:v>Elena</x:v>
      </x:c>
      <x:c r="E339" t="str">
        <x:v>Digital</x:v>
      </x:c>
      <x:c r="F339" t="str">
        <x:v>Dashboard Template</x:v>
      </x:c>
      <x:c r="G339" t="n">
        <x:v>5</x:v>
      </x:c>
      <x:c r="H339" s="40" t="n">
        <x:v>68.1</x:v>
      </x:c>
      <x:c r="I339" s="66" t="n">
        <x:v>0.1</x:v>
      </x:c>
      <x:c r="J339" s="40" t="n">
        <x:v>306.45</x:v>
      </x:c>
      <x:c r="K339" s="40" t="n">
        <x:v>40</x:v>
      </x:c>
      <x:c r="L339" s="40" t="n">
        <x:v>266.45</x:v>
      </x:c>
    </x:row>
    <x:row r="340">
      <x:c r="A340" s="38" t="n">
        <x:v>46066</x:v>
      </x:c>
      <x:c r="B340" t="str">
        <x:v>2026-02</x:v>
      </x:c>
      <x:c r="C340" t="str">
        <x:v>Lithuania</x:v>
      </x:c>
      <x:c r="D340" t="str">
        <x:v>Olga</x:v>
      </x:c>
      <x:c r="E340" t="str">
        <x:v>Subscription</x:v>
      </x:c>
      <x:c r="F340" t="str">
        <x:v>Pro Plan</x:v>
      </x:c>
      <x:c r="G340" t="n">
        <x:v>1</x:v>
      </x:c>
      <x:c r="H340" s="40" t="n">
        <x:v>122.03</x:v>
      </x:c>
      <x:c r="I340" s="66" t="n">
        <x:v>0.15</x:v>
      </x:c>
      <x:c r="J340" s="40" t="n">
        <x:v>103.73</x:v>
      </x:c>
      <x:c r="K340" s="40" t="n">
        <x:v>45</x:v>
      </x:c>
      <x:c r="L340" s="40" t="n">
        <x:v>58.73</x:v>
      </x:c>
    </x:row>
    <x:row r="341">
      <x:c r="A341" s="38" t="n">
        <x:v>46047</x:v>
      </x:c>
      <x:c r="B341" t="str">
        <x:v>2026-01</x:v>
      </x:c>
      <x:c r="C341" t="str">
        <x:v>Finland</x:v>
      </x:c>
      <x:c r="D341" t="str">
        <x:v>Anna</x:v>
      </x:c>
      <x:c r="E341" t="str">
        <x:v>Education</x:v>
      </x:c>
      <x:c r="F341" t="str">
        <x:v>Training Session</x:v>
      </x:c>
      <x:c r="G341" t="n">
        <x:v>4</x:v>
      </x:c>
      <x:c r="H341" s="40" t="n">
        <x:v>197.51</x:v>
      </x:c>
      <x:c r="I341" s="66" t="n">
        <x:v>0.05</x:v>
      </x:c>
      <x:c r="J341" s="40" t="n">
        <x:v>750.54</x:v>
      </x:c>
      <x:c r="K341" s="40" t="n">
        <x:v>280</x:v>
      </x:c>
      <x:c r="L341" s="40" t="n">
        <x:v>470.54</x:v>
      </x:c>
    </x:row>
    <x:row r="342">
      <x:c r="A342" s="38" t="n">
        <x:v>46183</x:v>
      </x:c>
      <x:c r="B342" t="str">
        <x:v>2026-06</x:v>
      </x:c>
      <x:c r="C342" t="str">
        <x:v>Estonia</x:v>
      </x:c>
      <x:c r="D342" t="str">
        <x:v>Anna</x:v>
      </x:c>
      <x:c r="E342" t="str">
        <x:v>Services</x:v>
      </x:c>
      <x:c r="F342" t="str">
        <x:v>Setup Package</x:v>
      </x:c>
      <x:c r="G342" t="n">
        <x:v>5</x:v>
      </x:c>
      <x:c r="H342" s="40" t="n">
        <x:v>434.21</x:v>
      </x:c>
      <x:c r="I342" s="66" t="n">
        <x:v>0.1</x:v>
      </x:c>
      <x:c r="J342" s="40" t="n">
        <x:v>1953.94</x:v>
      </x:c>
      <x:c r="K342" s="40" t="n">
        <x:v>800</x:v>
      </x:c>
      <x:c r="L342" s="40" t="n">
        <x:v>1153.94</x:v>
      </x:c>
    </x:row>
    <x:row r="343">
      <x:c r="A343" s="38" t="n">
        <x:v>46184</x:v>
      </x:c>
      <x:c r="B343" t="str">
        <x:v>2026-06</x:v>
      </x:c>
      <x:c r="C343" t="str">
        <x:v>Latvia</x:v>
      </x:c>
      <x:c r="D343" t="str">
        <x:v>Elena</x:v>
      </x:c>
      <x:c r="E343" t="str">
        <x:v>Services</x:v>
      </x:c>
      <x:c r="F343" t="str">
        <x:v>Consulting 1h</x:v>
      </x:c>
      <x:c r="G343" t="n">
        <x:v>6</x:v>
      </x:c>
      <x:c r="H343" s="40" t="n">
        <x:v>139.75</x:v>
      </x:c>
      <x:c r="I343" s="66" t="n">
        <x:v>0</x:v>
      </x:c>
      <x:c r="J343" s="40" t="n">
        <x:v>838.5</x:v>
      </x:c>
      <x:c r="K343" s="40" t="n">
        <x:v>330</x:v>
      </x:c>
      <x:c r="L343" s="40" t="n">
        <x:v>508.5</x:v>
      </x:c>
    </x:row>
    <x:row r="344">
      <x:c r="A344" s="38" t="n">
        <x:v>46098</x:v>
      </x:c>
      <x:c r="B344" t="str">
        <x:v>2026-03</x:v>
      </x:c>
      <x:c r="C344" t="str">
        <x:v>Finland</x:v>
      </x:c>
      <x:c r="D344" t="str">
        <x:v>Sofia</x:v>
      </x:c>
      <x:c r="E344" t="str">
        <x:v>Services</x:v>
      </x:c>
      <x:c r="F344" t="str">
        <x:v>Setup Package</x:v>
      </x:c>
      <x:c r="G344" t="n">
        <x:v>4</x:v>
      </x:c>
      <x:c r="H344" s="40" t="n">
        <x:v>440.58</x:v>
      </x:c>
      <x:c r="I344" s="66" t="n">
        <x:v>0.05</x:v>
      </x:c>
      <x:c r="J344" s="40" t="n">
        <x:v>1674.2</x:v>
      </x:c>
      <x:c r="K344" s="40" t="n">
        <x:v>640</x:v>
      </x:c>
      <x:c r="L344" s="40" t="n">
        <x:v>1034.2</x:v>
      </x:c>
    </x:row>
    <x:row r="345">
      <x:c r="A345" s="38" t="n">
        <x:v>46063</x:v>
      </x:c>
      <x:c r="B345" t="str">
        <x:v>2026-02</x:v>
      </x:c>
      <x:c r="C345" t="str">
        <x:v>Latvia</x:v>
      </x:c>
      <x:c r="D345" t="str">
        <x:v>Daria</x:v>
      </x:c>
      <x:c r="E345" t="str">
        <x:v>Services</x:v>
      </x:c>
      <x:c r="F345" t="str">
        <x:v>Consulting 1h</x:v>
      </x:c>
      <x:c r="G345" t="n">
        <x:v>2</x:v>
      </x:c>
      <x:c r="H345" s="40" t="n">
        <x:v>162.47</x:v>
      </x:c>
      <x:c r="I345" s="66" t="n">
        <x:v>0</x:v>
      </x:c>
      <x:c r="J345" s="40" t="n">
        <x:v>324.94</x:v>
      </x:c>
      <x:c r="K345" s="40" t="n">
        <x:v>110</x:v>
      </x:c>
      <x:c r="L345" s="40" t="n">
        <x:v>214.94</x:v>
      </x:c>
    </x:row>
    <x:row r="346">
      <x:c r="A346" s="38" t="n">
        <x:v>46038</x:v>
      </x:c>
      <x:c r="B346" t="str">
        <x:v>2026-01</x:v>
      </x:c>
      <x:c r="C346" t="str">
        <x:v>Estonia</x:v>
      </x:c>
      <x:c r="D346" t="str">
        <x:v>Olga</x:v>
      </x:c>
      <x:c r="E346" t="str">
        <x:v>Digital</x:v>
      </x:c>
      <x:c r="F346" t="str">
        <x:v>Dashboard Template</x:v>
      </x:c>
      <x:c r="G346" t="n">
        <x:v>3</x:v>
      </x:c>
      <x:c r="H346" s="40" t="n">
        <x:v>71.53</x:v>
      </x:c>
      <x:c r="I346" s="66" t="n">
        <x:v>0</x:v>
      </x:c>
      <x:c r="J346" s="40" t="n">
        <x:v>214.59</x:v>
      </x:c>
      <x:c r="K346" s="40" t="n">
        <x:v>24</x:v>
      </x:c>
      <x:c r="L346" s="40" t="n">
        <x:v>190.59</x:v>
      </x:c>
    </x:row>
    <x:row r="347">
      <x:c r="A347" s="38" t="n">
        <x:v>46124</x:v>
      </x:c>
      <x:c r="B347" t="str">
        <x:v>2026-04</x:v>
      </x:c>
      <x:c r="C347" t="str">
        <x:v>Poland</x:v>
      </x:c>
      <x:c r="D347" t="str">
        <x:v>Sofia</x:v>
      </x:c>
      <x:c r="E347" t="str">
        <x:v>Education</x:v>
      </x:c>
      <x:c r="F347" t="str">
        <x:v>Training Session</x:v>
      </x:c>
      <x:c r="G347" t="n">
        <x:v>1</x:v>
      </x:c>
      <x:c r="H347" s="40" t="n">
        <x:v>222.98</x:v>
      </x:c>
      <x:c r="I347" s="66" t="n">
        <x:v>0.05</x:v>
      </x:c>
      <x:c r="J347" s="40" t="n">
        <x:v>211.83</x:v>
      </x:c>
      <x:c r="K347" s="40" t="n">
        <x:v>70</x:v>
      </x:c>
      <x:c r="L347" s="40" t="n">
        <x:v>141.83</x:v>
      </x:c>
    </x:row>
    <x:row r="348">
      <x:c r="A348" s="38" t="n">
        <x:v>46109</x:v>
      </x:c>
      <x:c r="B348" t="str">
        <x:v>2026-03</x:v>
      </x:c>
      <x:c r="C348" t="str">
        <x:v>Poland</x:v>
      </x:c>
      <x:c r="D348" t="str">
        <x:v>Anna</x:v>
      </x:c>
      <x:c r="E348" t="str">
        <x:v>Services</x:v>
      </x:c>
      <x:c r="F348" t="str">
        <x:v>Consulting 1h</x:v>
      </x:c>
      <x:c r="G348" t="n">
        <x:v>8</x:v>
      </x:c>
      <x:c r="H348" s="40" t="n">
        <x:v>141.76</x:v>
      </x:c>
      <x:c r="I348" s="66" t="n">
        <x:v>0.05</x:v>
      </x:c>
      <x:c r="J348" s="40" t="n">
        <x:v>1077.38</x:v>
      </x:c>
      <x:c r="K348" s="40" t="n">
        <x:v>440</x:v>
      </x:c>
      <x:c r="L348" s="40" t="n">
        <x:v>637.38</x:v>
      </x:c>
    </x:row>
    <x:row r="349">
      <x:c r="A349" s="38" t="n">
        <x:v>46175</x:v>
      </x:c>
      <x:c r="B349" t="str">
        <x:v>2026-06</x:v>
      </x:c>
      <x:c r="C349" t="str">
        <x:v>Finland</x:v>
      </x:c>
      <x:c r="D349" t="str">
        <x:v>Olga</x:v>
      </x:c>
      <x:c r="E349" t="str">
        <x:v>Services</x:v>
      </x:c>
      <x:c r="F349" t="str">
        <x:v>Setup Package</x:v>
      </x:c>
      <x:c r="G349" t="n">
        <x:v>6</x:v>
      </x:c>
      <x:c r="H349" s="40" t="n">
        <x:v>376.04</x:v>
      </x:c>
      <x:c r="I349" s="66" t="n">
        <x:v>0</x:v>
      </x:c>
      <x:c r="J349" s="40" t="n">
        <x:v>2256.24</x:v>
      </x:c>
      <x:c r="K349" s="40" t="n">
        <x:v>960</x:v>
      </x:c>
      <x:c r="L349" s="40" t="n">
        <x:v>1296.24</x:v>
      </x:c>
    </x:row>
    <x:row r="350">
      <x:c r="A350" s="38" t="n">
        <x:v>46180</x:v>
      </x:c>
      <x:c r="B350" t="str">
        <x:v>2026-06</x:v>
      </x:c>
      <x:c r="C350" t="str">
        <x:v>Latvia</x:v>
      </x:c>
      <x:c r="D350" t="str">
        <x:v>Elena</x:v>
      </x:c>
      <x:c r="E350" t="str">
        <x:v>Services</x:v>
      </x:c>
      <x:c r="F350" t="str">
        <x:v>Consulting 1h</x:v>
      </x:c>
      <x:c r="G350" t="n">
        <x:v>6</x:v>
      </x:c>
      <x:c r="H350" s="40" t="n">
        <x:v>153.06</x:v>
      </x:c>
      <x:c r="I350" s="66" t="n">
        <x:v>0.05</x:v>
      </x:c>
      <x:c r="J350" s="40" t="n">
        <x:v>872.44</x:v>
      </x:c>
      <x:c r="K350" s="40" t="n">
        <x:v>330</x:v>
      </x:c>
      <x:c r="L350" s="40" t="n">
        <x:v>542.44</x:v>
      </x:c>
    </x:row>
    <x:row r="351">
      <x:c r="A351" s="38" t="n">
        <x:v>46152</x:v>
      </x:c>
      <x:c r="B351" t="str">
        <x:v>2026-05</x:v>
      </x:c>
      <x:c r="C351" t="str">
        <x:v>Poland</x:v>
      </x:c>
      <x:c r="D351" t="str">
        <x:v>Sofia</x:v>
      </x:c>
      <x:c r="E351" t="str">
        <x:v>Subscription</x:v>
      </x:c>
      <x:c r="F351" t="str">
        <x:v>Pro Plan</x:v>
      </x:c>
      <x:c r="G351" t="n">
        <x:v>6</x:v>
      </x:c>
      <x:c r="H351" s="40" t="n">
        <x:v>136.66</x:v>
      </x:c>
      <x:c r="I351" s="66" t="n">
        <x:v>0.15</x:v>
      </x:c>
      <x:c r="J351" s="40" t="n">
        <x:v>696.97</x:v>
      </x:c>
      <x:c r="K351" s="40" t="n">
        <x:v>270</x:v>
      </x:c>
      <x:c r="L351" s="40" t="n">
        <x:v>426.97</x:v>
      </x:c>
    </x:row>
    <x:row r="352">
      <x:c r="A352" s="38" t="n">
        <x:v>46027</x:v>
      </x:c>
      <x:c r="B352" t="str">
        <x:v>2026-01</x:v>
      </x:c>
      <x:c r="C352" t="str">
        <x:v>Latvia</x:v>
      </x:c>
      <x:c r="D352" t="str">
        <x:v>Olga</x:v>
      </x:c>
      <x:c r="E352" t="str">
        <x:v>Subscription</x:v>
      </x:c>
      <x:c r="F352" t="str">
        <x:v>Pro Plan</x:v>
      </x:c>
      <x:c r="G352" t="n">
        <x:v>2</x:v>
      </x:c>
      <x:c r="H352" s="40" t="n">
        <x:v>130.98</x:v>
      </x:c>
      <x:c r="I352" s="66" t="n">
        <x:v>0.1</x:v>
      </x:c>
      <x:c r="J352" s="40" t="n">
        <x:v>235.76</x:v>
      </x:c>
      <x:c r="K352" s="40" t="n">
        <x:v>90</x:v>
      </x:c>
      <x:c r="L352" s="40" t="n">
        <x:v>145.76</x:v>
      </x:c>
    </x:row>
    <x:row r="353">
      <x:c r="A353" s="38" t="n">
        <x:v>46122</x:v>
      </x:c>
      <x:c r="B353" t="str">
        <x:v>2026-04</x:v>
      </x:c>
      <x:c r="C353" t="str">
        <x:v>Poland</x:v>
      </x:c>
      <x:c r="D353" t="str">
        <x:v>Elena</x:v>
      </x:c>
      <x:c r="E353" t="str">
        <x:v>Services</x:v>
      </x:c>
      <x:c r="F353" t="str">
        <x:v>Setup Package</x:v>
      </x:c>
      <x:c r="G353" t="n">
        <x:v>8</x:v>
      </x:c>
      <x:c r="H353" s="40" t="n">
        <x:v>434.64</x:v>
      </x:c>
      <x:c r="I353" s="66" t="n">
        <x:v>0</x:v>
      </x:c>
      <x:c r="J353" s="40" t="n">
        <x:v>3477.12</x:v>
      </x:c>
      <x:c r="K353" s="40" t="n">
        <x:v>1280</x:v>
      </x:c>
      <x:c r="L353" s="40" t="n">
        <x:v>2197.12</x:v>
      </x:c>
    </x:row>
    <x:row r="354">
      <x:c r="A354" s="38" t="n">
        <x:v>46104</x:v>
      </x:c>
      <x:c r="B354" t="str">
        <x:v>2026-03</x:v>
      </x:c>
      <x:c r="C354" t="str">
        <x:v>Finland</x:v>
      </x:c>
      <x:c r="D354" t="str">
        <x:v>Daria</x:v>
      </x:c>
      <x:c r="E354" t="str">
        <x:v>Digital</x:v>
      </x:c>
      <x:c r="F354" t="str">
        <x:v>Dashboard Template</x:v>
      </x:c>
      <x:c r="G354" t="n">
        <x:v>3</x:v>
      </x:c>
      <x:c r="H354" s="40" t="n">
        <x:v>63.07</x:v>
      </x:c>
      <x:c r="I354" s="66" t="n">
        <x:v>0</x:v>
      </x:c>
      <x:c r="J354" s="40" t="n">
        <x:v>189.21</x:v>
      </x:c>
      <x:c r="K354" s="40" t="n">
        <x:v>24</x:v>
      </x:c>
      <x:c r="L354" s="40" t="n">
        <x:v>165.21</x:v>
      </x:c>
    </x:row>
    <x:row r="355">
      <x:c r="A355" s="38" t="n">
        <x:v>46031</x:v>
      </x:c>
      <x:c r="B355" t="str">
        <x:v>2026-01</x:v>
      </x:c>
      <x:c r="C355" t="str">
        <x:v>Latvia</x:v>
      </x:c>
      <x:c r="D355" t="str">
        <x:v>Anna</x:v>
      </x:c>
      <x:c r="E355" t="str">
        <x:v>Subscription</x:v>
      </x:c>
      <x:c r="F355" t="str">
        <x:v>Pro Plan</x:v>
      </x:c>
      <x:c r="G355" t="n">
        <x:v>2</x:v>
      </x:c>
      <x:c r="H355" s="40" t="n">
        <x:v>132.82</x:v>
      </x:c>
      <x:c r="I355" s="66" t="n">
        <x:v>0</x:v>
      </x:c>
      <x:c r="J355" s="40" t="n">
        <x:v>265.64</x:v>
      </x:c>
      <x:c r="K355" s="40" t="n">
        <x:v>90</x:v>
      </x:c>
      <x:c r="L355" s="40" t="n">
        <x:v>175.64</x:v>
      </x:c>
    </x:row>
    <x:row r="356">
      <x:c r="A356" s="38" t="n">
        <x:v>46155</x:v>
      </x:c>
      <x:c r="B356" t="str">
        <x:v>2026-05</x:v>
      </x:c>
      <x:c r="C356" t="str">
        <x:v>Estonia</x:v>
      </x:c>
      <x:c r="D356" t="str">
        <x:v>Anna</x:v>
      </x:c>
      <x:c r="E356" t="str">
        <x:v>Services</x:v>
      </x:c>
      <x:c r="F356" t="str">
        <x:v>Setup Package</x:v>
      </x:c>
      <x:c r="G356" t="n">
        <x:v>3</x:v>
      </x:c>
      <x:c r="H356" s="40" t="n">
        <x:v>396.95</x:v>
      </x:c>
      <x:c r="I356" s="66" t="n">
        <x:v>0</x:v>
      </x:c>
      <x:c r="J356" s="40" t="n">
        <x:v>1190.85</x:v>
      </x:c>
      <x:c r="K356" s="40" t="n">
        <x:v>480</x:v>
      </x:c>
      <x:c r="L356" s="40" t="n">
        <x:v>710.85</x:v>
      </x:c>
    </x:row>
    <x:row r="357">
      <x:c r="A357" s="38" t="n">
        <x:v>46050</x:v>
      </x:c>
      <x:c r="B357" t="str">
        <x:v>2026-01</x:v>
      </x:c>
      <x:c r="C357" t="str">
        <x:v>Finland</x:v>
      </x:c>
      <x:c r="D357" t="str">
        <x:v>Elena</x:v>
      </x:c>
      <x:c r="E357" t="str">
        <x:v>Digital</x:v>
      </x:c>
      <x:c r="F357" t="str">
        <x:v>Dashboard Template</x:v>
      </x:c>
      <x:c r="G357" t="n">
        <x:v>5</x:v>
      </x:c>
      <x:c r="H357" s="40" t="n">
        <x:v>66.99</x:v>
      </x:c>
      <x:c r="I357" s="66" t="n">
        <x:v>0.1</x:v>
      </x:c>
      <x:c r="J357" s="40" t="n">
        <x:v>301.45</x:v>
      </x:c>
      <x:c r="K357" s="40" t="n">
        <x:v>40</x:v>
      </x:c>
      <x:c r="L357" s="40" t="n">
        <x:v>261.45</x:v>
      </x:c>
    </x:row>
    <x:row r="358">
      <x:c r="A358" s="38" t="n">
        <x:v>46135</x:v>
      </x:c>
      <x:c r="B358" t="str">
        <x:v>2026-04</x:v>
      </x:c>
      <x:c r="C358" t="str">
        <x:v>Latvia</x:v>
      </x:c>
      <x:c r="D358" t="str">
        <x:v>Anna</x:v>
      </x:c>
      <x:c r="E358" t="str">
        <x:v>Education</x:v>
      </x:c>
      <x:c r="F358" t="str">
        <x:v>Training Session</x:v>
      </x:c>
      <x:c r="G358" t="n">
        <x:v>6</x:v>
      </x:c>
      <x:c r="H358" s="40" t="n">
        <x:v>226.1</x:v>
      </x:c>
      <x:c r="I358" s="66" t="n">
        <x:v>0</x:v>
      </x:c>
      <x:c r="J358" s="40" t="n">
        <x:v>1356.6</x:v>
      </x:c>
      <x:c r="K358" s="40" t="n">
        <x:v>420</x:v>
      </x:c>
      <x:c r="L358" s="40" t="n">
        <x:v>936.6</x:v>
      </x:c>
    </x:row>
    <x:row r="359">
      <x:c r="A359" s="38" t="n">
        <x:v>46117</x:v>
      </x:c>
      <x:c r="B359" t="str">
        <x:v>2026-04</x:v>
      </x:c>
      <x:c r="C359" t="str">
        <x:v>Latvia</x:v>
      </x:c>
      <x:c r="D359" t="str">
        <x:v>Anna</x:v>
      </x:c>
      <x:c r="E359" t="str">
        <x:v>Services</x:v>
      </x:c>
      <x:c r="F359" t="str">
        <x:v>Consulting 1h</x:v>
      </x:c>
      <x:c r="G359" t="n">
        <x:v>7</x:v>
      </x:c>
      <x:c r="H359" s="40" t="n">
        <x:v>170.85</x:v>
      </x:c>
      <x:c r="I359" s="66" t="n">
        <x:v>0</x:v>
      </x:c>
      <x:c r="J359" s="40" t="n">
        <x:v>1195.95</x:v>
      </x:c>
      <x:c r="K359" s="40" t="n">
        <x:v>385</x:v>
      </x:c>
      <x:c r="L359" s="40" t="n">
        <x:v>810.95</x:v>
      </x:c>
    </x:row>
    <x:row r="360">
      <x:c r="A360" s="38" t="n">
        <x:v>46081</x:v>
      </x:c>
      <x:c r="B360" t="str">
        <x:v>2026-02</x:v>
      </x:c>
      <x:c r="C360" t="str">
        <x:v>Latvia</x:v>
      </x:c>
      <x:c r="D360" t="str">
        <x:v>Olga</x:v>
      </x:c>
      <x:c r="E360" t="str">
        <x:v>Digital</x:v>
      </x:c>
      <x:c r="F360" t="str">
        <x:v>CRM Template</x:v>
      </x:c>
      <x:c r="G360" t="n">
        <x:v>8</x:v>
      </x:c>
      <x:c r="H360" s="40" t="n">
        <x:v>94.45</x:v>
      </x:c>
      <x:c r="I360" s="66" t="n">
        <x:v>0</x:v>
      </x:c>
      <x:c r="J360" s="40" t="n">
        <x:v>755.6</x:v>
      </x:c>
      <x:c r="K360" s="40" t="n">
        <x:v>80</x:v>
      </x:c>
      <x:c r="L360" s="40" t="n">
        <x:v>675.6</x:v>
      </x:c>
    </x:row>
    <x:row r="361">
      <x:c r="A361" s="38" t="n">
        <x:v>46128</x:v>
      </x:c>
      <x:c r="B361" t="str">
        <x:v>2026-04</x:v>
      </x:c>
      <x:c r="C361" t="str">
        <x:v>Estonia</x:v>
      </x:c>
      <x:c r="D361" t="str">
        <x:v>Maria</x:v>
      </x:c>
      <x:c r="E361" t="str">
        <x:v>Services</x:v>
      </x:c>
      <x:c r="F361" t="str">
        <x:v>Consulting 1h</x:v>
      </x:c>
      <x:c r="G361" t="n">
        <x:v>7</x:v>
      </x:c>
      <x:c r="H361" s="40" t="n">
        <x:v>150</x:v>
      </x:c>
      <x:c r="I361" s="66" t="n">
        <x:v>0</x:v>
      </x:c>
      <x:c r="J361" s="40" t="n">
        <x:v>1050</x:v>
      </x:c>
      <x:c r="K361" s="40" t="n">
        <x:v>385</x:v>
      </x:c>
      <x:c r="L361" s="40" t="n">
        <x:v>665</x:v>
      </x:c>
    </x:row>
    <x:row r="362">
      <x:c r="A362" s="38" t="n">
        <x:v>46189</x:v>
      </x:c>
      <x:c r="B362" t="str">
        <x:v>2026-06</x:v>
      </x:c>
      <x:c r="C362" t="str">
        <x:v>Poland</x:v>
      </x:c>
      <x:c r="D362" t="str">
        <x:v>Sofia</x:v>
      </x:c>
      <x:c r="E362" t="str">
        <x:v>Subscription</x:v>
      </x:c>
      <x:c r="F362" t="str">
        <x:v>Starter Kit</x:v>
      </x:c>
      <x:c r="G362" t="n">
        <x:v>6</x:v>
      </x:c>
      <x:c r="H362" s="40" t="n">
        <x:v>55.51</x:v>
      </x:c>
      <x:c r="I362" s="66" t="n">
        <x:v>0.05</x:v>
      </x:c>
      <x:c r="J362" s="40" t="n">
        <x:v>316.41</x:v>
      </x:c>
      <x:c r="K362" s="40" t="n">
        <x:v>120</x:v>
      </x:c>
      <x:c r="L362" s="40" t="n">
        <x:v>196.41</x:v>
      </x:c>
    </x:row>
    <x:row r="363">
      <x:c r="A363" s="38" t="n">
        <x:v>46173</x:v>
      </x:c>
      <x:c r="B363" t="str">
        <x:v>2026-05</x:v>
      </x:c>
      <x:c r="C363" t="str">
        <x:v>Poland</x:v>
      </x:c>
      <x:c r="D363" t="str">
        <x:v>Daria</x:v>
      </x:c>
      <x:c r="E363" t="str">
        <x:v>Subscription</x:v>
      </x:c>
      <x:c r="F363" t="str">
        <x:v>Pro Plan</x:v>
      </x:c>
      <x:c r="G363" t="n">
        <x:v>4</x:v>
      </x:c>
      <x:c r="H363" s="40" t="n">
        <x:v>132.99</x:v>
      </x:c>
      <x:c r="I363" s="66" t="n">
        <x:v>0</x:v>
      </x:c>
      <x:c r="J363" s="40" t="n">
        <x:v>531.96</x:v>
      </x:c>
      <x:c r="K363" s="40" t="n">
        <x:v>180</x:v>
      </x:c>
      <x:c r="L363" s="40" t="n">
        <x:v>351.96</x:v>
      </x:c>
    </x:row>
    <x:row r="364">
      <x:c r="A364" s="38" t="n">
        <x:v>46062</x:v>
      </x:c>
      <x:c r="B364" t="str">
        <x:v>2026-02</x:v>
      </x:c>
      <x:c r="C364" t="str">
        <x:v>Estonia</x:v>
      </x:c>
      <x:c r="D364" t="str">
        <x:v>Daria</x:v>
      </x:c>
      <x:c r="E364" t="str">
        <x:v>Subscription</x:v>
      </x:c>
      <x:c r="F364" t="str">
        <x:v>Pro Plan</x:v>
      </x:c>
      <x:c r="G364" t="n">
        <x:v>2</x:v>
      </x:c>
      <x:c r="H364" s="40" t="n">
        <x:v>124.87</x:v>
      </x:c>
      <x:c r="I364" s="66" t="n">
        <x:v>0.15</x:v>
      </x:c>
      <x:c r="J364" s="40" t="n">
        <x:v>212.28</x:v>
      </x:c>
      <x:c r="K364" s="40" t="n">
        <x:v>90</x:v>
      </x:c>
      <x:c r="L364" s="40" t="n">
        <x:v>122.28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60776621c31b401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5" max="5" width="14" hidden="0" customWidth="1"/>
    <x:col min="6" max="6" width="14" hidden="0" customWidth="1"/>
    <x:col min="8" max="8" width="14" hidden="0" customWidth="1"/>
    <x:col min="9" max="9" width="14" hidden="0" customWidth="1"/>
    <x:col min="4" max="4" width="14" hidden="0" customWidth="1"/>
    <x:col min="7" max="7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8" customHeight="1">
      <x:c r="A1" s="5" t="str">
        <x:v>Case 2 — Sales KPI Dashboard</x:v>
      </x:c>
    </x:row>
    <x:row r="2" ht="34" customHeight="1">
      <x:c r="A2" s="12" t="str">
        <x:v>Revenue, profit, AOV, manager performance, product/category breakdown.</x:v>
      </x:c>
    </x:row>
    <x:row r="4">
      <x:c r="A4" s="46" t="str">
        <x:v>Revenue</x:v>
      </x:c>
      <x:c r="B4" s="24"/>
      <x:c r="C4" s="46" t="str">
        <x:v>Profit</x:v>
      </x:c>
      <x:c r="D4" s="24"/>
      <x:c r="E4" s="46" t="str">
        <x:v>Orders</x:v>
      </x:c>
      <x:c r="F4" s="24"/>
      <x:c r="G4" s="46" t="str">
        <x:v>AOV</x:v>
      </x:c>
      <x:c r="H4" s="24"/>
      <x:c r="I4" s="46" t="str">
        <x:v>Profit margin</x:v>
      </x:c>
      <x:c r="J4" s="24"/>
      <x:c r="K4" s="46" t="str">
        <x:v>Units sold</x:v>
      </x:c>
      <x:c r="L4" s="24"/>
    </x:row>
    <x:row r="5">
      <x:c r="A5" s="98" t="n">
        <x:f>SUM(Sales_Raw!J5:J364)</x:f>
        <x:v>219947.68999999997</x:v>
      </x:c>
      <x:c r="B5" s="24"/>
      <x:c r="C5" s="98" t="n">
        <x:f>SUM(Sales_Raw!L5:L364)</x:f>
        <x:v>142915.69</x:v>
      </x:c>
      <x:c r="D5" s="24"/>
      <x:c r="E5" s="94" t="n">
        <x:f>COUNTA(Sales_Raw!A5:A364)</x:f>
        <x:v>360</x:v>
      </x:c>
      <x:c r="F5" s="24"/>
      <x:c r="G5" s="98" t="n">
        <x:f>SUM(Sales_Raw!J5:J364)/COUNTA(Sales_Raw!A5:A364)</x:f>
        <x:v>610.9658055555554</x:v>
      </x:c>
      <x:c r="H5" s="24"/>
      <x:c r="I5" s="99" t="n">
        <x:f>SUM(Sales_Raw!L5:L364)/SUM(Sales_Raw!J5:J364)</x:f>
        <x:v>0.6497712706143902</x:v>
      </x:c>
      <x:c r="J5" s="24"/>
      <x:c r="K5" s="94" t="n">
        <x:f>SUM(Sales_Raw!G5:G364)</x:f>
        <x:v>1566</x:v>
      </x:c>
      <x:c r="L5" s="24"/>
    </x:row>
    <x:row r="8">
      <x:c r="A8" s="32" t="str">
        <x:v>Month</x:v>
      </x:c>
      <x:c r="B8" s="32" t="str">
        <x:v>Revenue</x:v>
      </x:c>
      <x:c r="C8" s="32" t="str">
        <x:v>Profit</x:v>
      </x:c>
      <x:c r="E8" s="32" t="str">
        <x:v>Manager</x:v>
      </x:c>
      <x:c r="F8" s="32" t="str">
        <x:v>Revenue</x:v>
      </x:c>
      <x:c r="H8" s="32" t="str">
        <x:v>Category</x:v>
      </x:c>
      <x:c r="I8" s="32" t="str">
        <x:v>Revenue</x:v>
      </x:c>
    </x:row>
    <x:row r="9">
      <x:c r="A9" t="str">
        <x:v>2026-01</x:v>
      </x:c>
      <x:c r="B9" s="64" t="n">
        <x:f>SUMIF(Sales_Raw!$B$5:$B$364,A9,Sales_Raw!$J$5:$J$364)</x:f>
        <x:v>35269.74999999999</x:v>
      </x:c>
      <x:c r="C9" s="64" t="n">
        <x:f>SUMIF(Sales_Raw!$B$5:$B$364,A9,Sales_Raw!$L$5:$L$364)</x:f>
        <x:v>22239.749999999996</x:v>
      </x:c>
      <x:c r="E9" t="str">
        <x:v>Anna</x:v>
      </x:c>
      <x:c r="F9" s="64" t="n">
        <x:f>SUMIF(Sales_Raw!$D$5:$D$364,E9,Sales_Raw!$J$5:$J$364)</x:f>
        <x:v>49212.65999999999</x:v>
      </x:c>
      <x:c r="H9" t="str">
        <x:v>Digital</x:v>
      </x:c>
      <x:c r="I9" s="64" t="n">
        <x:f>SUMIF(Sales_Raw!$E$5:$E$364,H9,Sales_Raw!$J$5:$J$364)</x:f>
        <x:v>36393.03999999997</x:v>
      </x:c>
    </x:row>
    <x:row r="10">
      <x:c r="A10" t="str">
        <x:v>2026-02</x:v>
      </x:c>
      <x:c r="B10" s="64" t="n">
        <x:f>SUMIF(Sales_Raw!$B$5:$B$364,A10,Sales_Raw!$J$5:$J$364)</x:f>
        <x:v>28752.939999999984</x:v>
      </x:c>
      <x:c r="C10" s="64" t="n">
        <x:f>SUMIF(Sales_Raw!$B$5:$B$364,A10,Sales_Raw!$L$5:$L$364)</x:f>
        <x:v>19558.939999999995</x:v>
      </x:c>
      <x:c r="E10" t="str">
        <x:v>Maria</x:v>
      </x:c>
      <x:c r="F10" s="64" t="n">
        <x:f>SUMIF(Sales_Raw!$D$5:$D$364,E10,Sales_Raw!$J$5:$J$364)</x:f>
        <x:v>33964.47</x:v>
      </x:c>
      <x:c r="H10" t="str">
        <x:v>Education</x:v>
      </x:c>
      <x:c r="I10" s="64" t="n">
        <x:f>SUMIF(Sales_Raw!$E$5:$E$364,H10,Sales_Raw!$J$5:$J$364)</x:f>
        <x:v>41489.99</x:v>
      </x:c>
    </x:row>
    <x:row r="11">
      <x:c r="A11" t="str">
        <x:v>2026-03</x:v>
      </x:c>
      <x:c r="B11" s="64" t="n">
        <x:f>SUMIF(Sales_Raw!$B$5:$B$364,A11,Sales_Raw!$J$5:$J$364)</x:f>
        <x:v>32044.589999999997</x:v>
      </x:c>
      <x:c r="C11" s="64" t="n">
        <x:f>SUMIF(Sales_Raw!$B$5:$B$364,A11,Sales_Raw!$L$5:$L$364)</x:f>
        <x:v>20889.59</x:v>
      </x:c>
      <x:c r="E11" t="str">
        <x:v>Olga</x:v>
      </x:c>
      <x:c r="F11" s="64" t="n">
        <x:f>SUMIF(Sales_Raw!$D$5:$D$364,E11,Sales_Raw!$J$5:$J$364)</x:f>
        <x:v>36658.82</x:v>
      </x:c>
      <x:c r="H11" t="str">
        <x:v>Services</x:v>
      </x:c>
      <x:c r="I11" s="64" t="n">
        <x:f>SUMIF(Sales_Raw!$E$5:$E$364,H11,Sales_Raw!$J$5:$J$364)</x:f>
        <x:v>107295.4600000001</x:v>
      </x:c>
    </x:row>
    <x:row r="12">
      <x:c r="A12" t="str">
        <x:v>2026-04</x:v>
      </x:c>
      <x:c r="B12" s="64" t="n">
        <x:f>SUMIF(Sales_Raw!$B$5:$B$364,A12,Sales_Raw!$J$5:$J$364)</x:f>
        <x:v>47427.920000000006</x:v>
      </x:c>
      <x:c r="C12" s="64" t="n">
        <x:f>SUMIF(Sales_Raw!$B$5:$B$364,A12,Sales_Raw!$L$5:$L$364)</x:f>
        <x:v>30362.920000000006</x:v>
      </x:c>
      <x:c r="E12" t="str">
        <x:v>Sofia</x:v>
      </x:c>
      <x:c r="F12" s="64" t="n">
        <x:f>SUMIF(Sales_Raw!$D$5:$D$364,E12,Sales_Raw!$J$5:$J$364)</x:f>
        <x:v>29454.700000000004</x:v>
      </x:c>
      <x:c r="H12" t="str">
        <x:v>Subscription</x:v>
      </x:c>
      <x:c r="I12" s="64" t="n">
        <x:f>SUMIF(Sales_Raw!$E$5:$E$364,H12,Sales_Raw!$J$5:$J$364)</x:f>
        <x:v>34769.2</x:v>
      </x:c>
    </x:row>
    <x:row r="13">
      <x:c r="A13" t="str">
        <x:v>2026-05</x:v>
      </x:c>
      <x:c r="B13" s="64" t="n">
        <x:f>SUMIF(Sales_Raw!$B$5:$B$364,A13,Sales_Raw!$J$5:$J$364)</x:f>
        <x:v>35777.99</x:v>
      </x:c>
      <x:c r="C13" s="64" t="n">
        <x:f>SUMIF(Sales_Raw!$B$5:$B$364,A13,Sales_Raw!$L$5:$L$364)</x:f>
        <x:v>23135.989999999994</x:v>
      </x:c>
      <x:c r="E13" t="str">
        <x:v>Daria</x:v>
      </x:c>
      <x:c r="F13" s="64" t="n">
        <x:f>SUMIF(Sales_Raw!$D$5:$D$364,E13,Sales_Raw!$J$5:$J$364)</x:f>
        <x:v>35951.53999999999</x:v>
      </x:c>
      <x:c r="I13" s="64"/>
    </x:row>
    <x:row r="14">
      <x:c r="A14" t="str">
        <x:v>2026-06</x:v>
      </x:c>
      <x:c r="B14" s="64" t="n">
        <x:f>SUMIF(Sales_Raw!$B$5:$B$364,A14,Sales_Raw!$J$5:$J$364)</x:f>
        <x:v>40674.50000000001</x:v>
      </x:c>
      <x:c r="C14" s="64" t="n">
        <x:f>SUMIF(Sales_Raw!$B$5:$B$364,A14,Sales_Raw!$L$5:$L$364)</x:f>
        <x:v>26728.5</x:v>
      </x:c>
      <x:c r="E14" t="str">
        <x:v>Elena</x:v>
      </x:c>
      <x:c r="F14" s="64" t="n">
        <x:f>SUMIF(Sales_Raw!$D$5:$D$364,E14,Sales_Raw!$J$5:$J$364)</x:f>
        <x:v>34705.49999999999</x:v>
      </x:c>
      <x:c r="I14" s="64"/>
    </x:row>
    <x:row r="15">
      <x:c r="B15" s="64"/>
      <x:c r="C15" s="64"/>
      <x:c r="F15" s="64"/>
      <x:c r="I15" s="64"/>
    </x:row>
    <x:row r="16">
      <x:c r="B16" s="64"/>
      <x:c r="C16" s="64"/>
      <x:c r="F16" s="64"/>
      <x:c r="I16" s="64"/>
    </x:row>
    <x:row r="17">
      <x:c r="B17" s="64"/>
      <x:c r="C17" s="64"/>
      <x:c r="F17" s="64"/>
      <x:c r="I17" s="64"/>
    </x:row>
    <x:row r="18">
      <x:c r="B18" s="64"/>
      <x:c r="C18" s="64"/>
      <x:c r="F18" s="64"/>
      <x:c r="I18" s="64"/>
    </x:row>
    <x:row r="19">
      <x:c r="B19" s="64"/>
      <x:c r="C19" s="64"/>
      <x:c r="F19" s="64"/>
      <x:c r="I19" s="64"/>
    </x:row>
    <x:row r="20">
      <x:c r="B20" s="64"/>
      <x:c r="C20" s="64"/>
      <x:c r="F20" s="64"/>
      <x:c r="I20" s="64"/>
    </x:row>
    <x:row r="21">
      <x:c r="B21" s="64"/>
      <x:c r="C21" s="64"/>
      <x:c r="F21" s="64"/>
      <x:c r="I21" s="64"/>
    </x:row>
    <x:row r="22">
      <x:c r="B22" s="64"/>
      <x:c r="C22" s="64"/>
      <x:c r="F22" s="64"/>
      <x:c r="I22" s="64"/>
    </x:row>
    <x:row r="23">
      <x:c r="B23" s="64"/>
      <x:c r="C23" s="64"/>
      <x:c r="F23" s="64"/>
      <x:c r="I23" s="64"/>
    </x:row>
    <x:row r="24">
      <x:c r="B24" s="64"/>
      <x:c r="C24" s="64"/>
      <x:c r="F24" s="64"/>
      <x:c r="I24" s="64"/>
    </x:row>
    <x:row r="25">
      <x:c r="B25" s="64"/>
      <x:c r="C25" s="64"/>
      <x:c r="F25" s="64"/>
      <x:c r="I25" s="64"/>
    </x:row>
    <x:row r="26">
      <x:c r="B26" s="64"/>
      <x:c r="C26" s="64"/>
      <x:c r="F26" s="64"/>
      <x:c r="I26" s="64"/>
    </x:row>
    <x:row r="27">
      <x:c r="B27" s="64"/>
      <x:c r="C27" s="64"/>
      <x:c r="F27" s="64"/>
      <x:c r="I27" s="64"/>
    </x:row>
    <x:row r="28">
      <x:c r="B28" s="64"/>
      <x:c r="C28" s="64"/>
      <x:c r="F28" s="64"/>
      <x:c r="I28" s="64"/>
    </x:row>
    <x:row r="29">
      <x:c r="B29" s="64"/>
      <x:c r="C29" s="64"/>
      <x:c r="F29" s="64"/>
      <x:c r="I29" s="64"/>
    </x:row>
    <x:row r="30">
      <x:c r="B30" s="64"/>
      <x:c r="C30" s="64"/>
      <x:c r="F30" s="64"/>
      <x:c r="I30" s="64"/>
    </x:row>
  </x:sheetData>
  <x:mergeCells>
    <x:mergeCell ref="A1:L1"/>
    <x:mergeCell ref="A2:L2"/>
    <x:mergeCell ref="A4:B4"/>
    <x:mergeCell ref="A5:B5"/>
    <x:mergeCell ref="C4:D4"/>
    <x:mergeCell ref="C5:D5"/>
    <x:mergeCell ref="E4:F4"/>
    <x:mergeCell ref="E5:F5"/>
    <x:mergeCell ref="G4:H4"/>
    <x:mergeCell ref="G5:H5"/>
    <x:mergeCell ref="I4:J4"/>
    <x:mergeCell ref="I5:J5"/>
    <x:mergeCell ref="K4:L4"/>
    <x:mergeCell ref="K5:L5"/>
  </x:mergeCells>
  <x:pageMargins left="0.7" right="0.7" top="0.75" bottom="0.75" header="0.3" footer="0.3"/>
  <x:drawing xmlns:r="http://schemas.openxmlformats.org/officeDocument/2006/relationships" r:id="Rbafdec3ee0eb408c"/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16" hidden="0" customWidth="1"/>
    <x:col min="4" max="4" width="12" hidden="0" customWidth="1"/>
    <x:col min="5" max="5" width="8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0" hidden="0" customWidth="1"/>
    <x:col min="13" max="13" width="10" hidden="0" customWidth="1"/>
    <x:col min="14" max="14" width="18" hidden="0" customWidth="1"/>
    <x:col min="15" max="15" width="22" hidden="0" customWidth="1"/>
  </x:cols>
  <x:sheetData>
    <x:row r="1" ht="28" customHeight="1">
      <x:c r="A1" s="5" t="str">
        <x:v>Case 3 — Raw Crypto Trading Journal</x:v>
      </x:c>
    </x:row>
    <x:row r="2" ht="34" customHeight="1">
      <x:c r="A2" s="12" t="str">
        <x:v>Synthetic trades for PnL, R/R, equity curve and performance review.</x:v>
      </x:c>
    </x:row>
    <x:row r="4">
      <x:c r="A4" s="32" t="str">
        <x:v>Trade #</x:v>
      </x:c>
      <x:c r="B4" s="32" t="str">
        <x:v>Date</x:v>
      </x:c>
      <x:c r="C4" s="32" t="str">
        <x:v>Symbol</x:v>
      </x:c>
      <x:c r="D4" s="32" t="str">
        <x:v>Exchange</x:v>
      </x:c>
      <x:c r="E4" s="32" t="str">
        <x:v>TF</x:v>
      </x:c>
      <x:c r="F4" s="32" t="str">
        <x:v>Direction</x:v>
      </x:c>
      <x:c r="G4" s="32" t="str">
        <x:v>Entry</x:v>
      </x:c>
      <x:c r="H4" s="32" t="str">
        <x:v>Exit</x:v>
      </x:c>
      <x:c r="I4" s="32" t="str">
        <x:v>Stop Loss</x:v>
      </x:c>
      <x:c r="J4" s="32" t="str">
        <x:v>Take Profit</x:v>
      </x:c>
      <x:c r="K4" s="32" t="str">
        <x:v>Size USDT</x:v>
      </x:c>
      <x:c r="L4" s="32" t="str">
        <x:v>Leverage</x:v>
      </x:c>
      <x:c r="M4" s="32" t="str">
        <x:v>Fees</x:v>
      </x:c>
      <x:c r="N4" s="32" t="str">
        <x:v>Setup</x:v>
      </x:c>
      <x:c r="O4" s="32" t="str">
        <x:v>Mistake</x:v>
      </x:c>
    </x:row>
    <x:row r="5">
      <x:c r="A5" t="n">
        <x:v>1</x:v>
      </x:c>
      <x:c r="B5" s="72" t="n">
        <x:v>46034.875</x:v>
      </x:c>
      <x:c r="C5" t="str">
        <x:v>XRPUSDT</x:v>
      </x:c>
      <x:c r="D5" t="str">
        <x:v>Bybit</x:v>
      </x:c>
      <x:c r="E5" t="str">
        <x:v>1h</x:v>
      </x:c>
      <x:c r="F5" t="str">
        <x:v>Long</x:v>
      </x:c>
      <x:c r="G5" s="74" t="n">
        <x:v>0.460251</x:v>
      </x:c>
      <x:c r="H5" s="74" t="n">
        <x:v>0.455368</x:v>
      </x:c>
      <x:c r="I5" s="74" t="n">
        <x:v>0.453651</x:v>
      </x:c>
      <x:c r="J5" s="74" t="n">
        <x:v>0.472512</x:v>
      </x:c>
      <x:c r="K5" s="76" t="n">
        <x:v>250</x:v>
      </x:c>
      <x:c r="L5" s="76" t="n">
        <x:v>10</x:v>
      </x:c>
      <x:c r="M5" s="76" t="n">
        <x:v>2</x:v>
      </x:c>
      <x:c r="N5" t="str">
        <x:v>Trend continuation</x:v>
      </x:c>
      <x:c r="O5" t="str">
        <x:v>Late entry</x:v>
      </x:c>
    </x:row>
    <x:row r="6">
      <x:c r="A6" t="n">
        <x:v>2</x:v>
      </x:c>
      <x:c r="B6" s="72" t="n">
        <x:v>46116.333333333336</x:v>
      </x:c>
      <x:c r="C6" t="str">
        <x:v>BTCUSDT</x:v>
      </x:c>
      <x:c r="D6" t="str">
        <x:v>Binance</x:v>
      </x:c>
      <x:c r="E6" t="str">
        <x:v>15m</x:v>
      </x:c>
      <x:c r="F6" t="str">
        <x:v>Short</x:v>
      </x:c>
      <x:c r="G6" s="74" t="n">
        <x:v>66154.163685</x:v>
      </x:c>
      <x:c r="H6" s="74" t="n">
        <x:v>64651.378357</x:v>
      </x:c>
      <x:c r="I6" s="74" t="n">
        <x:v>66710.517781</x:v>
      </x:c>
      <x:c r="J6" s="74" t="n">
        <x:v>62610.389825</x:v>
      </x:c>
      <x:c r="K6" s="76" t="n">
        <x:v>300</x:v>
      </x:c>
      <x:c r="L6" s="76" t="n">
        <x:v>2</x:v>
      </x:c>
      <x:c r="M6" s="76" t="n">
        <x:v>0.48</x:v>
      </x:c>
      <x:c r="N6" t="str">
        <x:v>Trend continuation</x:v>
      </x:c>
      <x:c r="O6" t="str">
        <x:v>Ignored funding</x:v>
      </x:c>
    </x:row>
    <x:row r="7">
      <x:c r="A7" t="n">
        <x:v>3</x:v>
      </x:c>
      <x:c r="B7" s="72" t="n">
        <x:v>46034.458333333336</x:v>
      </x:c>
      <x:c r="C7" t="str">
        <x:v>ADAUSDT</x:v>
      </x:c>
      <x:c r="D7" t="str">
        <x:v>OKX</x:v>
      </x:c>
      <x:c r="E7" t="str">
        <x:v>15m</x:v>
      </x:c>
      <x:c r="F7" t="str">
        <x:v>Short</x:v>
      </x:c>
      <x:c r="G7" s="74" t="n">
        <x:v>0.463103</x:v>
      </x:c>
      <x:c r="H7" s="74" t="n">
        <x:v>0.452386</x:v>
      </x:c>
      <x:c r="I7" s="74" t="n">
        <x:v>0.471841</x:v>
      </x:c>
      <x:c r="J7" s="74" t="n">
        <x:v>0.44409</x:v>
      </x:c>
      <x:c r="K7" s="76" t="n">
        <x:v>500</x:v>
      </x:c>
      <x:c r="L7" s="76" t="n">
        <x:v>1</x:v>
      </x:c>
      <x:c r="M7" s="76" t="n">
        <x:v>0.4</x:v>
      </x:c>
      <x:c r="N7" t="str">
        <x:v>OB retest</x:v>
      </x:c>
      <x:c r="O7" t="str">
        <x:v>Ignored funding</x:v>
      </x:c>
    </x:row>
    <x:row r="8">
      <x:c r="A8" t="n">
        <x:v>4</x:v>
      </x:c>
      <x:c r="B8" s="72" t="n">
        <x:v>46081.916666666664</x:v>
      </x:c>
      <x:c r="C8" t="str">
        <x:v>FARTCOINUSDT</x:v>
      </x:c>
      <x:c r="D8" t="str">
        <x:v>OKX</x:v>
      </x:c>
      <x:c r="E8" t="str">
        <x:v>5m</x:v>
      </x:c>
      <x:c r="F8" t="str">
        <x:v>Long</x:v>
      </x:c>
      <x:c r="G8" s="74" t="n">
        <x:v>0.175689</x:v>
      </x:c>
      <x:c r="H8" s="74" t="n">
        <x:v>0.181461</x:v>
      </x:c>
      <x:c r="I8" s="74" t="n">
        <x:v>0.172862</x:v>
      </x:c>
      <x:c r="J8" s="74" t="n">
        <x:v>0.183001</x:v>
      </x:c>
      <x:c r="K8" s="76" t="n">
        <x:v>150</x:v>
      </x:c>
      <x:c r="L8" s="76" t="n">
        <x:v>2</x:v>
      </x:c>
      <x:c r="M8" s="76" t="n">
        <x:v>0.24</x:v>
      </x:c>
      <x:c r="N8" t="str">
        <x:v>Trend continuation</x:v>
      </x:c>
      <x:c r="O8" t="str">
        <x:v>Oversized</x:v>
      </x:c>
    </x:row>
    <x:row r="9">
      <x:c r="A9" t="n">
        <x:v>5</x:v>
      </x:c>
      <x:c r="B9" s="72" t="n">
        <x:v>46127.666666666664</x:v>
      </x:c>
      <x:c r="C9" t="str">
        <x:v>FARTCOINUSDT</x:v>
      </x:c>
      <x:c r="D9" t="str">
        <x:v>Binance</x:v>
      </x:c>
      <x:c r="E9" t="str">
        <x:v>1h</x:v>
      </x:c>
      <x:c r="F9" t="str">
        <x:v>Long</x:v>
      </x:c>
      <x:c r="G9" s="74" t="n">
        <x:v>0.183532</x:v>
      </x:c>
      <x:c r="H9" s="74" t="n">
        <x:v>0.185055</x:v>
      </x:c>
      <x:c r="I9" s="74" t="n">
        <x:v>0.181539</x:v>
      </x:c>
      <x:c r="J9" s="74" t="n">
        <x:v>0.188213</x:v>
      </x:c>
      <x:c r="K9" s="76" t="n">
        <x:v>750</x:v>
      </x:c>
      <x:c r="L9" s="76" t="n">
        <x:v>3</x:v>
      </x:c>
      <x:c r="M9" s="76" t="n">
        <x:v>1.8</x:v>
      </x:c>
      <x:c r="N9" t="str">
        <x:v>Range deviation</x:v>
      </x:c>
      <x:c r="O9" t="str">
        <x:v>Ignored funding</x:v>
      </x:c>
    </x:row>
    <x:row r="10">
      <x:c r="A10" t="n">
        <x:v>6</x:v>
      </x:c>
      <x:c r="B10" s="72" t="n">
        <x:v>46121.541666666664</x:v>
      </x:c>
      <x:c r="C10" t="str">
        <x:v>BNBUSDT</x:v>
      </x:c>
      <x:c r="D10" t="str">
        <x:v>Bybit</x:v>
      </x:c>
      <x:c r="E10" t="str">
        <x:v>5m</x:v>
      </x:c>
      <x:c r="F10" t="str">
        <x:v>Short</x:v>
      </x:c>
      <x:c r="G10" s="74" t="n">
        <x:v>516.080404</x:v>
      </x:c>
      <x:c r="H10" s="74" t="n">
        <x:v>502.017539</x:v>
      </x:c>
      <x:c r="I10" s="74" t="n">
        <x:v>520.519843</x:v>
      </x:c>
      <x:c r="J10" s="74" t="n">
        <x:v>488.413298</x:v>
      </x:c>
      <x:c r="K10" s="76" t="n">
        <x:v>500</x:v>
      </x:c>
      <x:c r="L10" s="76" t="n">
        <x:v>1</x:v>
      </x:c>
      <x:c r="M10" s="76" t="n">
        <x:v>0.4</x:v>
      </x:c>
      <x:c r="N10" t="str">
        <x:v>Range deviation</x:v>
      </x:c>
      <x:c r="O10" t="str">
        <x:v>Oversized</x:v>
      </x:c>
    </x:row>
    <x:row r="11">
      <x:c r="A11" t="n">
        <x:v>7</x:v>
      </x:c>
      <x:c r="B11" s="72" t="n">
        <x:v>46154.541666666664</x:v>
      </x:c>
      <x:c r="C11" t="str">
        <x:v>FARTCOINUSDT</x:v>
      </x:c>
      <x:c r="D11" t="str">
        <x:v>OKX</x:v>
      </x:c>
      <x:c r="E11" t="str">
        <x:v>3m</x:v>
      </x:c>
      <x:c r="F11" t="str">
        <x:v>Long</x:v>
      </x:c>
      <x:c r="G11" s="74" t="n">
        <x:v>0.148033</x:v>
      </x:c>
      <x:c r="H11" s="74" t="n">
        <x:v>0.146664</x:v>
      </x:c>
      <x:c r="I11" s="74" t="n">
        <x:v>0.145323</x:v>
      </x:c>
      <x:c r="J11" s="74" t="n">
        <x:v>0.152171</x:v>
      </x:c>
      <x:c r="K11" s="76" t="n">
        <x:v>500</x:v>
      </x:c>
      <x:c r="L11" s="76" t="n">
        <x:v>5</x:v>
      </x:c>
      <x:c r="M11" s="76" t="n">
        <x:v>2</x:v>
      </x:c>
      <x:c r="N11" t="str">
        <x:v>Liquidity sweep</x:v>
      </x:c>
      <x:c r="O11" t="str">
        <x:v>Oversized</x:v>
      </x:c>
    </x:row>
    <x:row r="12">
      <x:c r="A12" t="n">
        <x:v>8</x:v>
      </x:c>
      <x:c r="B12" s="72" t="n">
        <x:v>46033.5</x:v>
      </x:c>
      <x:c r="C12" t="str">
        <x:v>WLFIUSDT</x:v>
      </x:c>
      <x:c r="D12" t="str">
        <x:v>Bybit</x:v>
      </x:c>
      <x:c r="E12" t="str">
        <x:v>1h</x:v>
      </x:c>
      <x:c r="F12" t="str">
        <x:v>Long</x:v>
      </x:c>
      <x:c r="G12" s="74" t="n">
        <x:v>0.06067</x:v>
      </x:c>
      <x:c r="H12" s="74" t="n">
        <x:v>0.058955</x:v>
      </x:c>
      <x:c r="I12" s="74" t="n">
        <x:v>0.060088</x:v>
      </x:c>
      <x:c r="J12" s="74" t="n">
        <x:v>0.062564</x:v>
      </x:c>
      <x:c r="K12" s="76" t="n">
        <x:v>100</x:v>
      </x:c>
      <x:c r="L12" s="76" t="n">
        <x:v>10</x:v>
      </x:c>
      <x:c r="M12" s="76" t="n">
        <x:v>0.8</x:v>
      </x:c>
      <x:c r="N12" t="str">
        <x:v>VWAP reclaim</x:v>
      </x:c>
      <x:c r="O12" t="str">
        <x:v>No HTF confirmation</x:v>
      </x:c>
    </x:row>
    <x:row r="13">
      <x:c r="A13" t="n">
        <x:v>9</x:v>
      </x:c>
      <x:c r="B13" s="72" t="n">
        <x:v>46157.625</x:v>
      </x:c>
      <x:c r="C13" t="str">
        <x:v>BNBUSDT</x:v>
      </x:c>
      <x:c r="D13" t="str">
        <x:v>OKX</x:v>
      </x:c>
      <x:c r="E13" t="str">
        <x:v>15m</x:v>
      </x:c>
      <x:c r="F13" t="str">
        <x:v>Short</x:v>
      </x:c>
      <x:c r="G13" s="74" t="n">
        <x:v>541.45629</x:v>
      </x:c>
      <x:c r="H13" s="74" t="n">
        <x:v>539.036867</x:v>
      </x:c>
      <x:c r="I13" s="74" t="n">
        <x:v>548.293402</x:v>
      </x:c>
      <x:c r="J13" s="74" t="n">
        <x:v>532.5236</x:v>
      </x:c>
      <x:c r="K13" s="76" t="n">
        <x:v>500</x:v>
      </x:c>
      <x:c r="L13" s="76" t="n">
        <x:v>1</x:v>
      </x:c>
      <x:c r="M13" s="76" t="n">
        <x:v>0.4</x:v>
      </x:c>
      <x:c r="N13" t="str">
        <x:v>VWAP reclaim</x:v>
      </x:c>
      <x:c r="O13" t="str">
        <x:v>None</x:v>
      </x:c>
    </x:row>
    <x:row r="14">
      <x:c r="A14" t="n">
        <x:v>10</x:v>
      </x:c>
      <x:c r="B14" s="72" t="n">
        <x:v>46057.708333333336</x:v>
      </x:c>
      <x:c r="C14" t="str">
        <x:v>FARTCOINUSDT</x:v>
      </x:c>
      <x:c r="D14" t="str">
        <x:v>Binance</x:v>
      </x:c>
      <x:c r="E14" t="str">
        <x:v>1h</x:v>
      </x:c>
      <x:c r="F14" t="str">
        <x:v>Short</x:v>
      </x:c>
      <x:c r="G14" s="74" t="n">
        <x:v>0.172244</x:v>
      </x:c>
      <x:c r="H14" s="74" t="n">
        <x:v>0.170787</x:v>
      </x:c>
      <x:c r="I14" s="74" t="n">
        <x:v>0.175789</x:v>
      </x:c>
      <x:c r="J14" s="74" t="n">
        <x:v>0.16356</x:v>
      </x:c>
      <x:c r="K14" s="76" t="n">
        <x:v>500</x:v>
      </x:c>
      <x:c r="L14" s="76" t="n">
        <x:v>10</x:v>
      </x:c>
      <x:c r="M14" s="76" t="n">
        <x:v>4</x:v>
      </x:c>
      <x:c r="N14" t="str">
        <x:v>Trend continuation</x:v>
      </x:c>
      <x:c r="O14" t="str">
        <x:v>None</x:v>
      </x:c>
    </x:row>
    <x:row r="15">
      <x:c r="A15" t="n">
        <x:v>11</x:v>
      </x:c>
      <x:c r="B15" s="72" t="n">
        <x:v>46063.333333333336</x:v>
      </x:c>
      <x:c r="C15" t="str">
        <x:v>BNBUSDT</x:v>
      </x:c>
      <x:c r="D15" t="str">
        <x:v>Bybit</x:v>
      </x:c>
      <x:c r="E15" t="str">
        <x:v>3m</x:v>
      </x:c>
      <x:c r="F15" t="str">
        <x:v>Long</x:v>
      </x:c>
      <x:c r="G15" s="74" t="n">
        <x:v>514.330173</x:v>
      </x:c>
      <x:c r="H15" s="74" t="n">
        <x:v>535.640045</x:v>
      </x:c>
      <x:c r="I15" s="74" t="n">
        <x:v>509.369321</x:v>
      </x:c>
      <x:c r="J15" s="74" t="n">
        <x:v>530.676117</x:v>
      </x:c>
      <x:c r="K15" s="76" t="n">
        <x:v>750</x:v>
      </x:c>
      <x:c r="L15" s="76" t="n">
        <x:v>1</x:v>
      </x:c>
      <x:c r="M15" s="76" t="n">
        <x:v>0.6</x:v>
      </x:c>
      <x:c r="N15" t="str">
        <x:v>Liquidity sweep</x:v>
      </x:c>
      <x:c r="O15" t="str">
        <x:v>Ignored funding</x:v>
      </x:c>
    </x:row>
    <x:row r="16">
      <x:c r="A16" t="n">
        <x:v>12</x:v>
      </x:c>
      <x:c r="B16" s="72" t="n">
        <x:v>46093.666666666664</x:v>
      </x:c>
      <x:c r="C16" t="str">
        <x:v>BNBUSDT</x:v>
      </x:c>
      <x:c r="D16" t="str">
        <x:v>OKX</x:v>
      </x:c>
      <x:c r="E16" t="str">
        <x:v>1h</x:v>
      </x:c>
      <x:c r="F16" t="str">
        <x:v>Long</x:v>
      </x:c>
      <x:c r="G16" s="74" t="n">
        <x:v>515.050626</x:v>
      </x:c>
      <x:c r="H16" s="74" t="n">
        <x:v>520.177817</x:v>
      </x:c>
      <x:c r="I16" s="74" t="n">
        <x:v>503.528765</x:v>
      </x:c>
      <x:c r="J16" s="74" t="n">
        <x:v>522.961272</x:v>
      </x:c>
      <x:c r="K16" s="76" t="n">
        <x:v>750</x:v>
      </x:c>
      <x:c r="L16" s="76" t="n">
        <x:v>10</x:v>
      </x:c>
      <x:c r="M16" s="76" t="n">
        <x:v>6</x:v>
      </x:c>
      <x:c r="N16" t="str">
        <x:v>Range deviation</x:v>
      </x:c>
      <x:c r="O16" t="str">
        <x:v>Oversized</x:v>
      </x:c>
    </x:row>
    <x:row r="17">
      <x:c r="A17" t="n">
        <x:v>13</x:v>
      </x:c>
      <x:c r="B17" s="72" t="n">
        <x:v>46124.333333333336</x:v>
      </x:c>
      <x:c r="C17" t="str">
        <x:v>ADAUSDT</x:v>
      </x:c>
      <x:c r="D17" t="str">
        <x:v>Bybit</x:v>
      </x:c>
      <x:c r="E17" t="str">
        <x:v>5m</x:v>
      </x:c>
      <x:c r="F17" t="str">
        <x:v>Long</x:v>
      </x:c>
      <x:c r="G17" s="74" t="n">
        <x:v>0.431996</x:v>
      </x:c>
      <x:c r="H17" s="74" t="n">
        <x:v>0.459266</x:v>
      </x:c>
      <x:c r="I17" s="74" t="n">
        <x:v>0.425614</x:v>
      </x:c>
      <x:c r="J17" s="74" t="n">
        <x:v>0.449455</x:v>
      </x:c>
      <x:c r="K17" s="76" t="n">
        <x:v>500</x:v>
      </x:c>
      <x:c r="L17" s="76" t="n">
        <x:v>1</x:v>
      </x:c>
      <x:c r="M17" s="76" t="n">
        <x:v>0.4</x:v>
      </x:c>
      <x:c r="N17" t="str">
        <x:v>VWAP reclaim</x:v>
      </x:c>
      <x:c r="O17" t="str">
        <x:v>Oversized</x:v>
      </x:c>
    </x:row>
    <x:row r="18">
      <x:c r="A18" t="n">
        <x:v>14</x:v>
      </x:c>
      <x:c r="B18" s="72" t="n">
        <x:v>46104.375</x:v>
      </x:c>
      <x:c r="C18" t="str">
        <x:v>BTCUSDT</x:v>
      </x:c>
      <x:c r="D18" t="str">
        <x:v>Bybit</x:v>
      </x:c>
      <x:c r="E18" t="str">
        <x:v>1h</x:v>
      </x:c>
      <x:c r="F18" t="str">
        <x:v>Short</x:v>
      </x:c>
      <x:c r="G18" s="74" t="n">
        <x:v>59858.633029</x:v>
      </x:c>
      <x:c r="H18" s="74" t="n">
        <x:v>59120.653934</x:v>
      </x:c>
      <x:c r="I18" s="74" t="n">
        <x:v>60688.73634</x:v>
      </x:c>
      <x:c r="J18" s="74" t="n">
        <x:v>57394.387608</x:v>
      </x:c>
      <x:c r="K18" s="76" t="n">
        <x:v>1000</x:v>
      </x:c>
      <x:c r="L18" s="76" t="n">
        <x:v>10</x:v>
      </x:c>
      <x:c r="M18" s="76" t="n">
        <x:v>8</x:v>
      </x:c>
      <x:c r="N18" t="str">
        <x:v>OB retest</x:v>
      </x:c>
      <x:c r="O18" t="str">
        <x:v>Ignored funding</x:v>
      </x:c>
    </x:row>
    <x:row r="19">
      <x:c r="A19" t="n">
        <x:v>15</x:v>
      </x:c>
      <x:c r="B19" s="72" t="n">
        <x:v>46097.083333333336</x:v>
      </x:c>
      <x:c r="C19" t="str">
        <x:v>WLFIUSDT</x:v>
      </x:c>
      <x:c r="D19" t="str">
        <x:v>Bybit</x:v>
      </x:c>
      <x:c r="E19" t="str">
        <x:v>1h</x:v>
      </x:c>
      <x:c r="F19" t="str">
        <x:v>Long</x:v>
      </x:c>
      <x:c r="G19" s="74" t="n">
        <x:v>0.052322</x:v>
      </x:c>
      <x:c r="H19" s="74" t="n">
        <x:v>0.049696</x:v>
      </x:c>
      <x:c r="I19" s="74" t="n">
        <x:v>0.051179</x:v>
      </x:c>
      <x:c r="J19" s="74" t="n">
        <x:v>0.054527</x:v>
      </x:c>
      <x:c r="K19" s="76" t="n">
        <x:v>200</x:v>
      </x:c>
      <x:c r="L19" s="76" t="n">
        <x:v>5</x:v>
      </x:c>
      <x:c r="M19" s="76" t="n">
        <x:v>0.8</x:v>
      </x:c>
      <x:c r="N19" t="str">
        <x:v>Trend continuation</x:v>
      </x:c>
      <x:c r="O19" t="str">
        <x:v>Moved SL</x:v>
      </x:c>
    </x:row>
    <x:row r="20">
      <x:c r="A20" t="n">
        <x:v>16</x:v>
      </x:c>
      <x:c r="B20" s="72" t="n">
        <x:v>46109.333333333336</x:v>
      </x:c>
      <x:c r="C20" t="str">
        <x:v>BTCUSDT</x:v>
      </x:c>
      <x:c r="D20" t="str">
        <x:v>Bybit</x:v>
      </x:c>
      <x:c r="E20" t="str">
        <x:v>1h</x:v>
      </x:c>
      <x:c r="F20" t="str">
        <x:v>Long</x:v>
      </x:c>
      <x:c r="G20" s="74" t="n">
        <x:v>70249.913519</x:v>
      </x:c>
      <x:c r="H20" s="74" t="n">
        <x:v>67594.78416</x:v>
      </x:c>
      <x:c r="I20" s="74" t="n">
        <x:v>69503.238359</x:v>
      </x:c>
      <x:c r="J20" s="74" t="n">
        <x:v>73826.489505</x:v>
      </x:c>
      <x:c r="K20" s="76" t="n">
        <x:v>1000</x:v>
      </x:c>
      <x:c r="L20" s="76" t="n">
        <x:v>1</x:v>
      </x:c>
      <x:c r="M20" s="76" t="n">
        <x:v>0.8</x:v>
      </x:c>
      <x:c r="N20" t="str">
        <x:v>VWAP reclaim</x:v>
      </x:c>
      <x:c r="O20" t="str">
        <x:v>Oversized</x:v>
      </x:c>
    </x:row>
    <x:row r="21">
      <x:c r="A21" t="n">
        <x:v>17</x:v>
      </x:c>
      <x:c r="B21" s="72" t="n">
        <x:v>46140.833333333336</x:v>
      </x:c>
      <x:c r="C21" t="str">
        <x:v>XRPUSDT</x:v>
      </x:c>
      <x:c r="D21" t="str">
        <x:v>Bybit</x:v>
      </x:c>
      <x:c r="E21" t="str">
        <x:v>1h</x:v>
      </x:c>
      <x:c r="F21" t="str">
        <x:v>Long</x:v>
      </x:c>
      <x:c r="G21" s="74" t="n">
        <x:v>0.442781</x:v>
      </x:c>
      <x:c r="H21" s="74" t="n">
        <x:v>0.435947</x:v>
      </x:c>
      <x:c r="I21" s="74" t="n">
        <x:v>0.431787</x:v>
      </x:c>
      <x:c r="J21" s="74" t="n">
        <x:v>0.451766</x:v>
      </x:c>
      <x:c r="K21" s="76" t="n">
        <x:v>250</x:v>
      </x:c>
      <x:c r="L21" s="76" t="n">
        <x:v>2</x:v>
      </x:c>
      <x:c r="M21" s="76" t="n">
        <x:v>0.4</x:v>
      </x:c>
      <x:c r="N21" t="str">
        <x:v>OB retest</x:v>
      </x:c>
      <x:c r="O21" t="str">
        <x:v>None</x:v>
      </x:c>
    </x:row>
    <x:row r="22">
      <x:c r="A22" t="n">
        <x:v>18</x:v>
      </x:c>
      <x:c r="B22" s="72" t="n">
        <x:v>46087.958333333336</x:v>
      </x:c>
      <x:c r="C22" t="str">
        <x:v>ADAUSDT</x:v>
      </x:c>
      <x:c r="D22" t="str">
        <x:v>Bybit</x:v>
      </x:c>
      <x:c r="E22" t="str">
        <x:v>1h</x:v>
      </x:c>
      <x:c r="F22" t="str">
        <x:v>Short</x:v>
      </x:c>
      <x:c r="G22" s="74" t="n">
        <x:v>0.547431</x:v>
      </x:c>
      <x:c r="H22" s="74" t="n">
        <x:v>0.569348</x:v>
      </x:c>
      <x:c r="I22" s="74" t="n">
        <x:v>0.557518</x:v>
      </x:c>
      <x:c r="J22" s="74" t="n">
        <x:v>0.521277</x:v>
      </x:c>
      <x:c r="K22" s="76" t="n">
        <x:v>250</x:v>
      </x:c>
      <x:c r="L22" s="76" t="n">
        <x:v>2</x:v>
      </x:c>
      <x:c r="M22" s="76" t="n">
        <x:v>0.4</x:v>
      </x:c>
      <x:c r="N22" t="str">
        <x:v>Range deviation</x:v>
      </x:c>
      <x:c r="O22" t="str">
        <x:v>Moved SL</x:v>
      </x:c>
    </x:row>
    <x:row r="23">
      <x:c r="A23" t="n">
        <x:v>19</x:v>
      </x:c>
      <x:c r="B23" s="72" t="n">
        <x:v>46085.25</x:v>
      </x:c>
      <x:c r="C23" t="str">
        <x:v>FARTCOINUSDT</x:v>
      </x:c>
      <x:c r="D23" t="str">
        <x:v>Bybit</x:v>
      </x:c>
      <x:c r="E23" t="str">
        <x:v>3m</x:v>
      </x:c>
      <x:c r="F23" t="str">
        <x:v>Short</x:v>
      </x:c>
      <x:c r="G23" s="74" t="n">
        <x:v>0.179174</x:v>
      </x:c>
      <x:c r="H23" s="74" t="n">
        <x:v>0.176057</x:v>
      </x:c>
      <x:c r="I23" s="74" t="n">
        <x:v>0.182804</x:v>
      </x:c>
      <x:c r="J23" s="74" t="n">
        <x:v>0.176335</x:v>
      </x:c>
      <x:c r="K23" s="76" t="n">
        <x:v>300</x:v>
      </x:c>
      <x:c r="L23" s="76" t="n">
        <x:v>10</x:v>
      </x:c>
      <x:c r="M23" s="76" t="n">
        <x:v>2.4</x:v>
      </x:c>
      <x:c r="N23" t="str">
        <x:v>CVD divergence</x:v>
      </x:c>
      <x:c r="O23" t="str">
        <x:v>Ignored funding</x:v>
      </x:c>
    </x:row>
    <x:row r="24">
      <x:c r="A24" t="n">
        <x:v>20</x:v>
      </x:c>
      <x:c r="B24" s="72" t="n">
        <x:v>46046.791666666664</x:v>
      </x:c>
      <x:c r="C24" t="str">
        <x:v>BNBUSDT</x:v>
      </x:c>
      <x:c r="D24" t="str">
        <x:v>Bybit</x:v>
      </x:c>
      <x:c r="E24" t="str">
        <x:v>3m</x:v>
      </x:c>
      <x:c r="F24" t="str">
        <x:v>Short</x:v>
      </x:c>
      <x:c r="G24" s="74" t="n">
        <x:v>528.924559</x:v>
      </x:c>
      <x:c r="H24" s="74" t="n">
        <x:v>526.094284</x:v>
      </x:c>
      <x:c r="I24" s="74" t="n">
        <x:v>540.793067</x:v>
      </x:c>
      <x:c r="J24" s="74" t="n">
        <x:v>502.14627</x:v>
      </x:c>
      <x:c r="K24" s="76" t="n">
        <x:v>200</x:v>
      </x:c>
      <x:c r="L24" s="76" t="n">
        <x:v>5</x:v>
      </x:c>
      <x:c r="M24" s="76" t="n">
        <x:v>0.8</x:v>
      </x:c>
      <x:c r="N24" t="str">
        <x:v>CVD divergence</x:v>
      </x:c>
      <x:c r="O24" t="str">
        <x:v>Moved SL</x:v>
      </x:c>
    </x:row>
    <x:row r="25">
      <x:c r="A25" t="n">
        <x:v>21</x:v>
      </x:c>
      <x:c r="B25" s="72" t="n">
        <x:v>46065.5</x:v>
      </x:c>
      <x:c r="C25" t="str">
        <x:v>ETHUSDT</x:v>
      </x:c>
      <x:c r="D25" t="str">
        <x:v>OKX</x:v>
      </x:c>
      <x:c r="E25" t="str">
        <x:v>15m</x:v>
      </x:c>
      <x:c r="F25" t="str">
        <x:v>Short</x:v>
      </x:c>
      <x:c r="G25" s="74" t="n">
        <x:v>3217.137215</x:v>
      </x:c>
      <x:c r="H25" s="74" t="n">
        <x:v>3253.243061</x:v>
      </x:c>
      <x:c r="I25" s="74" t="n">
        <x:v>3252.829001</x:v>
      </x:c>
      <x:c r="J25" s="74" t="n">
        <x:v>3082.517084</x:v>
      </x:c>
      <x:c r="K25" s="76" t="n">
        <x:v>150</x:v>
      </x:c>
      <x:c r="L25" s="76" t="n">
        <x:v>2</x:v>
      </x:c>
      <x:c r="M25" s="76" t="n">
        <x:v>0.24</x:v>
      </x:c>
      <x:c r="N25" t="str">
        <x:v>Liquidity sweep</x:v>
      </x:c>
      <x:c r="O25" t="str">
        <x:v>None</x:v>
      </x:c>
    </x:row>
    <x:row r="26">
      <x:c r="A26" t="n">
        <x:v>22</x:v>
      </x:c>
      <x:c r="B26" s="72" t="n">
        <x:v>46141.291666666664</x:v>
      </x:c>
      <x:c r="C26" t="str">
        <x:v>ADAUSDT</x:v>
      </x:c>
      <x:c r="D26" t="str">
        <x:v>OKX</x:v>
      </x:c>
      <x:c r="E26" t="str">
        <x:v>15m</x:v>
      </x:c>
      <x:c r="F26" t="str">
        <x:v>Long</x:v>
      </x:c>
      <x:c r="G26" s="74" t="n">
        <x:v>0.463628</x:v>
      </x:c>
      <x:c r="H26" s="74" t="n">
        <x:v>0.464762</x:v>
      </x:c>
      <x:c r="I26" s="74" t="n">
        <x:v>0.45866</x:v>
      </x:c>
      <x:c r="J26" s="74" t="n">
        <x:v>0.479949</x:v>
      </x:c>
      <x:c r="K26" s="76" t="n">
        <x:v>250</x:v>
      </x:c>
      <x:c r="L26" s="76" t="n">
        <x:v>10</x:v>
      </x:c>
      <x:c r="M26" s="76" t="n">
        <x:v>2</x:v>
      </x:c>
      <x:c r="N26" t="str">
        <x:v>CVD divergence</x:v>
      </x:c>
      <x:c r="O26" t="str">
        <x:v>Late entry</x:v>
      </x:c>
    </x:row>
    <x:row r="27">
      <x:c r="A27" t="n">
        <x:v>23</x:v>
      </x:c>
      <x:c r="B27" s="72" t="n">
        <x:v>46154.833333333336</x:v>
      </x:c>
      <x:c r="C27" t="str">
        <x:v>ADAUSDT</x:v>
      </x:c>
      <x:c r="D27" t="str">
        <x:v>OKX</x:v>
      </x:c>
      <x:c r="E27" t="str">
        <x:v>15m</x:v>
      </x:c>
      <x:c r="F27" t="str">
        <x:v>Short</x:v>
      </x:c>
      <x:c r="G27" s="74" t="n">
        <x:v>0.478931</x:v>
      </x:c>
      <x:c r="H27" s="74" t="n">
        <x:v>0.476545</x:v>
      </x:c>
      <x:c r="I27" s="74" t="n">
        <x:v>0.488935</x:v>
      </x:c>
      <x:c r="J27" s="74" t="n">
        <x:v>0.466341</x:v>
      </x:c>
      <x:c r="K27" s="76" t="n">
        <x:v>100</x:v>
      </x:c>
      <x:c r="L27" s="76" t="n">
        <x:v>1</x:v>
      </x:c>
      <x:c r="M27" s="76" t="n">
        <x:v>0.08</x:v>
      </x:c>
      <x:c r="N27" t="str">
        <x:v>Trend continuation</x:v>
      </x:c>
      <x:c r="O27" t="str">
        <x:v>No HTF confirmation</x:v>
      </x:c>
    </x:row>
    <x:row r="28">
      <x:c r="A28" t="n">
        <x:v>24</x:v>
      </x:c>
      <x:c r="B28" s="72" t="n">
        <x:v>46126.125</x:v>
      </x:c>
      <x:c r="C28" t="str">
        <x:v>SOLUSDT</x:v>
      </x:c>
      <x:c r="D28" t="str">
        <x:v>Bybit</x:v>
      </x:c>
      <x:c r="E28" t="str">
        <x:v>5m</x:v>
      </x:c>
      <x:c r="F28" t="str">
        <x:v>Short</x:v>
      </x:c>
      <x:c r="G28" s="74" t="n">
        <x:v>165.393452</x:v>
      </x:c>
      <x:c r="H28" s="74" t="n">
        <x:v>167.738781</x:v>
      </x:c>
      <x:c r="I28" s="74" t="n">
        <x:v>168.831589</x:v>
      </x:c>
      <x:c r="J28" s="74" t="n">
        <x:v>161.103974</x:v>
      </x:c>
      <x:c r="K28" s="76" t="n">
        <x:v>300</x:v>
      </x:c>
      <x:c r="L28" s="76" t="n">
        <x:v>1</x:v>
      </x:c>
      <x:c r="M28" s="76" t="n">
        <x:v>0.24</x:v>
      </x:c>
      <x:c r="N28" t="str">
        <x:v>OB retest</x:v>
      </x:c>
      <x:c r="O28" t="str">
        <x:v>Moved SL</x:v>
      </x:c>
    </x:row>
    <x:row r="29">
      <x:c r="A29" t="n">
        <x:v>25</x:v>
      </x:c>
      <x:c r="B29" s="72" t="n">
        <x:v>46159.458333333336</x:v>
      </x:c>
      <x:c r="C29" t="str">
        <x:v>SOLUSDT</x:v>
      </x:c>
      <x:c r="D29" t="str">
        <x:v>Binance</x:v>
      </x:c>
      <x:c r="E29" t="str">
        <x:v>5m</x:v>
      </x:c>
      <x:c r="F29" t="str">
        <x:v>Long</x:v>
      </x:c>
      <x:c r="G29" s="74" t="n">
        <x:v>139.75598</x:v>
      </x:c>
      <x:c r="H29" s="74" t="n">
        <x:v>144.723368</x:v>
      </x:c>
      <x:c r="I29" s="74" t="n">
        <x:v>138.047319</x:v>
      </x:c>
      <x:c r="J29" s="74" t="n">
        <x:v>144.734623</x:v>
      </x:c>
      <x:c r="K29" s="76" t="n">
        <x:v>300</x:v>
      </x:c>
      <x:c r="L29" s="76" t="n">
        <x:v>1</x:v>
      </x:c>
      <x:c r="M29" s="76" t="n">
        <x:v>0.24</x:v>
      </x:c>
      <x:c r="N29" t="str">
        <x:v>Liquidity sweep</x:v>
      </x:c>
      <x:c r="O29" t="str">
        <x:v>Moved SL</x:v>
      </x:c>
    </x:row>
    <x:row r="30">
      <x:c r="A30" t="n">
        <x:v>26</x:v>
      </x:c>
      <x:c r="B30" s="72" t="n">
        <x:v>46080.5</x:v>
      </x:c>
      <x:c r="C30" t="str">
        <x:v>FARTCOINUSDT</x:v>
      </x:c>
      <x:c r="D30" t="str">
        <x:v>OKX</x:v>
      </x:c>
      <x:c r="E30" t="str">
        <x:v>1h</x:v>
      </x:c>
      <x:c r="F30" t="str">
        <x:v>Short</x:v>
      </x:c>
      <x:c r="G30" s="74" t="n">
        <x:v>0.180898</x:v>
      </x:c>
      <x:c r="H30" s="74" t="n">
        <x:v>0.189185</x:v>
      </x:c>
      <x:c r="I30" s="74" t="n">
        <x:v>0.182607</x:v>
      </x:c>
      <x:c r="J30" s="74" t="n">
        <x:v>0.172187</x:v>
      </x:c>
      <x:c r="K30" s="76" t="n">
        <x:v>200</x:v>
      </x:c>
      <x:c r="L30" s="76" t="n">
        <x:v>3</x:v>
      </x:c>
      <x:c r="M30" s="76" t="n">
        <x:v>0.48</x:v>
      </x:c>
      <x:c r="N30" t="str">
        <x:v>CVD divergence</x:v>
      </x:c>
      <x:c r="O30" t="str">
        <x:v>None</x:v>
      </x:c>
    </x:row>
    <x:row r="31">
      <x:c r="A31" t="n">
        <x:v>27</x:v>
      </x:c>
      <x:c r="B31" s="72" t="n">
        <x:v>46110.375</x:v>
      </x:c>
      <x:c r="C31" t="str">
        <x:v>WLFIUSDT</x:v>
      </x:c>
      <x:c r="D31" t="str">
        <x:v>OKX</x:v>
      </x:c>
      <x:c r="E31" t="str">
        <x:v>15m</x:v>
      </x:c>
      <x:c r="F31" t="str">
        <x:v>Short</x:v>
      </x:c>
      <x:c r="G31" s="74" t="n">
        <x:v>0.051064</x:v>
      </x:c>
      <x:c r="H31" s="74" t="n">
        <x:v>0.051238</x:v>
      </x:c>
      <x:c r="I31" s="74" t="n">
        <x:v>0.051563</x:v>
      </x:c>
      <x:c r="J31" s="74" t="n">
        <x:v>0.04827</x:v>
      </x:c>
      <x:c r="K31" s="76" t="n">
        <x:v>250</x:v>
      </x:c>
      <x:c r="L31" s="76" t="n">
        <x:v>10</x:v>
      </x:c>
      <x:c r="M31" s="76" t="n">
        <x:v>2</x:v>
      </x:c>
      <x:c r="N31" t="str">
        <x:v>Range deviation</x:v>
      </x:c>
      <x:c r="O31" t="str">
        <x:v>No HTF confirmation</x:v>
      </x:c>
    </x:row>
    <x:row r="32">
      <x:c r="A32" t="n">
        <x:v>28</x:v>
      </x:c>
      <x:c r="B32" s="72" t="n">
        <x:v>46139.708333333336</x:v>
      </x:c>
      <x:c r="C32" t="str">
        <x:v>XRPUSDT</x:v>
      </x:c>
      <x:c r="D32" t="str">
        <x:v>Binance</x:v>
      </x:c>
      <x:c r="E32" t="str">
        <x:v>15m</x:v>
      </x:c>
      <x:c r="F32" t="str">
        <x:v>Short</x:v>
      </x:c>
      <x:c r="G32" s="74" t="n">
        <x:v>0.583293</x:v>
      </x:c>
      <x:c r="H32" s="74" t="n">
        <x:v>0.584195</x:v>
      </x:c>
      <x:c r="I32" s="74" t="n">
        <x:v>0.596808</x:v>
      </x:c>
      <x:c r="J32" s="74" t="n">
        <x:v>0.56658</x:v>
      </x:c>
      <x:c r="K32" s="76" t="n">
        <x:v>200</x:v>
      </x:c>
      <x:c r="L32" s="76" t="n">
        <x:v>5</x:v>
      </x:c>
      <x:c r="M32" s="76" t="n">
        <x:v>0.8</x:v>
      </x:c>
      <x:c r="N32" t="str">
        <x:v>Range deviation</x:v>
      </x:c>
      <x:c r="O32" t="str">
        <x:v>Oversized</x:v>
      </x:c>
    </x:row>
    <x:row r="33">
      <x:c r="A33" t="n">
        <x:v>29</x:v>
      </x:c>
      <x:c r="B33" s="72" t="n">
        <x:v>46040.625</x:v>
      </x:c>
      <x:c r="C33" t="str">
        <x:v>XRPUSDT</x:v>
      </x:c>
      <x:c r="D33" t="str">
        <x:v>Binance</x:v>
      </x:c>
      <x:c r="E33" t="str">
        <x:v>15m</x:v>
      </x:c>
      <x:c r="F33" t="str">
        <x:v>Long</x:v>
      </x:c>
      <x:c r="G33" s="74" t="n">
        <x:v>0.522973</x:v>
      </x:c>
      <x:c r="H33" s="74" t="n">
        <x:v>0.505206</x:v>
      </x:c>
      <x:c r="I33" s="74" t="n">
        <x:v>0.515629</x:v>
      </x:c>
      <x:c r="J33" s="74" t="n">
        <x:v>0.54373</x:v>
      </x:c>
      <x:c r="K33" s="76" t="n">
        <x:v>100</x:v>
      </x:c>
      <x:c r="L33" s="76" t="n">
        <x:v>3</x:v>
      </x:c>
      <x:c r="M33" s="76" t="n">
        <x:v>0.24</x:v>
      </x:c>
      <x:c r="N33" t="str">
        <x:v>Liquidity sweep</x:v>
      </x:c>
      <x:c r="O33" t="str">
        <x:v>Moved SL</x:v>
      </x:c>
    </x:row>
    <x:row r="34">
      <x:c r="A34" t="n">
        <x:v>30</x:v>
      </x:c>
      <x:c r="B34" s="72" t="n">
        <x:v>46112.666666666664</x:v>
      </x:c>
      <x:c r="C34" t="str">
        <x:v>FARTCOINUSDT</x:v>
      </x:c>
      <x:c r="D34" t="str">
        <x:v>Binance</x:v>
      </x:c>
      <x:c r="E34" t="str">
        <x:v>3m</x:v>
      </x:c>
      <x:c r="F34" t="str">
        <x:v>Short</x:v>
      </x:c>
      <x:c r="G34" s="74" t="n">
        <x:v>0.152411</x:v>
      </x:c>
      <x:c r="H34" s="74" t="n">
        <x:v>0.155501</x:v>
      </x:c>
      <x:c r="I34" s="74" t="n">
        <x:v>0.155943</x:v>
      </x:c>
      <x:c r="J34" s="74" t="n">
        <x:v>0.14914</x:v>
      </x:c>
      <x:c r="K34" s="76" t="n">
        <x:v>200</x:v>
      </x:c>
      <x:c r="L34" s="76" t="n">
        <x:v>3</x:v>
      </x:c>
      <x:c r="M34" s="76" t="n">
        <x:v>0.48</x:v>
      </x:c>
      <x:c r="N34" t="str">
        <x:v>CVD divergence</x:v>
      </x:c>
      <x:c r="O34" t="str">
        <x:v>None</x:v>
      </x:c>
    </x:row>
    <x:row r="35">
      <x:c r="A35" t="n">
        <x:v>31</x:v>
      </x:c>
      <x:c r="B35" s="72" t="n">
        <x:v>46139.291666666664</x:v>
      </x:c>
      <x:c r="C35" t="str">
        <x:v>FARTCOINUSDT</x:v>
      </x:c>
      <x:c r="D35" t="str">
        <x:v>OKX</x:v>
      </x:c>
      <x:c r="E35" t="str">
        <x:v>15m</x:v>
      </x:c>
      <x:c r="F35" t="str">
        <x:v>Long</x:v>
      </x:c>
      <x:c r="G35" s="74" t="n">
        <x:v>0.140873</x:v>
      </x:c>
      <x:c r="H35" s="74" t="n">
        <x:v>0.14011</x:v>
      </x:c>
      <x:c r="I35" s="74" t="n">
        <x:v>0.138619</x:v>
      </x:c>
      <x:c r="J35" s="74" t="n">
        <x:v>0.145207</x:v>
      </x:c>
      <x:c r="K35" s="76" t="n">
        <x:v>250</x:v>
      </x:c>
      <x:c r="L35" s="76" t="n">
        <x:v>3</x:v>
      </x:c>
      <x:c r="M35" s="76" t="n">
        <x:v>0.6</x:v>
      </x:c>
      <x:c r="N35" t="str">
        <x:v>OB retest</x:v>
      </x:c>
      <x:c r="O35" t="str">
        <x:v>Moved SL</x:v>
      </x:c>
    </x:row>
    <x:row r="36">
      <x:c r="A36" t="n">
        <x:v>32</x:v>
      </x:c>
      <x:c r="B36" s="72" t="n">
        <x:v>46130.916666666664</x:v>
      </x:c>
      <x:c r="C36" t="str">
        <x:v>XRPUSDT</x:v>
      </x:c>
      <x:c r="D36" t="str">
        <x:v>Binance</x:v>
      </x:c>
      <x:c r="E36" t="str">
        <x:v>1h</x:v>
      </x:c>
      <x:c r="F36" t="str">
        <x:v>Short</x:v>
      </x:c>
      <x:c r="G36" s="74" t="n">
        <x:v>0.589505</x:v>
      </x:c>
      <x:c r="H36" s="74" t="n">
        <x:v>0.587078</x:v>
      </x:c>
      <x:c r="I36" s="74" t="n">
        <x:v>0.599267</x:v>
      </x:c>
      <x:c r="J36" s="74" t="n">
        <x:v>0.557148</x:v>
      </x:c>
      <x:c r="K36" s="76" t="n">
        <x:v>1000</x:v>
      </x:c>
      <x:c r="L36" s="76" t="n">
        <x:v>1</x:v>
      </x:c>
      <x:c r="M36" s="76" t="n">
        <x:v>0.8</x:v>
      </x:c>
      <x:c r="N36" t="str">
        <x:v>Liquidity sweep</x:v>
      </x:c>
      <x:c r="O36" t="str">
        <x:v>Oversized</x:v>
      </x:c>
    </x:row>
    <x:row r="37">
      <x:c r="A37" t="n">
        <x:v>33</x:v>
      </x:c>
      <x:c r="B37" s="72" t="n">
        <x:v>46052.625</x:v>
      </x:c>
      <x:c r="C37" t="str">
        <x:v>BNBUSDT</x:v>
      </x:c>
      <x:c r="D37" t="str">
        <x:v>Bybit</x:v>
      </x:c>
      <x:c r="E37" t="str">
        <x:v>15m</x:v>
      </x:c>
      <x:c r="F37" t="str">
        <x:v>Short</x:v>
      </x:c>
      <x:c r="G37" s="74" t="n">
        <x:v>510.765106</x:v>
      </x:c>
      <x:c r="H37" s="74" t="n">
        <x:v>496.450411</x:v>
      </x:c>
      <x:c r="I37" s="74" t="n">
        <x:v>516.478196</x:v>
      </x:c>
      <x:c r="J37" s="74" t="n">
        <x:v>492.409102</x:v>
      </x:c>
      <x:c r="K37" s="76" t="n">
        <x:v>1000</x:v>
      </x:c>
      <x:c r="L37" s="76" t="n">
        <x:v>10</x:v>
      </x:c>
      <x:c r="M37" s="76" t="n">
        <x:v>8</x:v>
      </x:c>
      <x:c r="N37" t="str">
        <x:v>Liquidity sweep</x:v>
      </x:c>
      <x:c r="O37" t="str">
        <x:v>No HTF confirmation</x:v>
      </x:c>
    </x:row>
    <x:row r="38">
      <x:c r="A38" t="n">
        <x:v>34</x:v>
      </x:c>
      <x:c r="B38" s="72" t="n">
        <x:v>46164.5</x:v>
      </x:c>
      <x:c r="C38" t="str">
        <x:v>FARTCOINUSDT</x:v>
      </x:c>
      <x:c r="D38" t="str">
        <x:v>OKX</x:v>
      </x:c>
      <x:c r="E38" t="str">
        <x:v>15m</x:v>
      </x:c>
      <x:c r="F38" t="str">
        <x:v>Long</x:v>
      </x:c>
      <x:c r="G38" s="74" t="n">
        <x:v>0.144522</x:v>
      </x:c>
      <x:c r="H38" s="74" t="n">
        <x:v>0.143593</x:v>
      </x:c>
      <x:c r="I38" s="74" t="n">
        <x:v>0.142109</x:v>
      </x:c>
      <x:c r="J38" s="74" t="n">
        <x:v>0.151253</x:v>
      </x:c>
      <x:c r="K38" s="76" t="n">
        <x:v>750</x:v>
      </x:c>
      <x:c r="L38" s="76" t="n">
        <x:v>3</x:v>
      </x:c>
      <x:c r="M38" s="76" t="n">
        <x:v>1.8</x:v>
      </x:c>
      <x:c r="N38" t="str">
        <x:v>Range deviation</x:v>
      </x:c>
      <x:c r="O38" t="str">
        <x:v>Late entry</x:v>
      </x:c>
    </x:row>
    <x:row r="39">
      <x:c r="A39" t="n">
        <x:v>35</x:v>
      </x:c>
      <x:c r="B39" s="72" t="n">
        <x:v>46171.083333333336</x:v>
      </x:c>
      <x:c r="C39" t="str">
        <x:v>BTCUSDT</x:v>
      </x:c>
      <x:c r="D39" t="str">
        <x:v>OKX</x:v>
      </x:c>
      <x:c r="E39" t="str">
        <x:v>15m</x:v>
      </x:c>
      <x:c r="F39" t="str">
        <x:v>Short</x:v>
      </x:c>
      <x:c r="G39" s="74" t="n">
        <x:v>72117.922906</x:v>
      </x:c>
      <x:c r="H39" s="74" t="n">
        <x:v>70819.622608</x:v>
      </x:c>
      <x:c r="I39" s="74" t="n">
        <x:v>72847.70212</x:v>
      </x:c>
      <x:c r="J39" s="74" t="n">
        <x:v>70281.271256</x:v>
      </x:c>
      <x:c r="K39" s="76" t="n">
        <x:v>250</x:v>
      </x:c>
      <x:c r="L39" s="76" t="n">
        <x:v>10</x:v>
      </x:c>
      <x:c r="M39" s="76" t="n">
        <x:v>2</x:v>
      </x:c>
      <x:c r="N39" t="str">
        <x:v>Range deviation</x:v>
      </x:c>
      <x:c r="O39" t="str">
        <x:v>Ignored funding</x:v>
      </x:c>
    </x:row>
    <x:row r="40">
      <x:c r="A40" t="n">
        <x:v>36</x:v>
      </x:c>
      <x:c r="B40" s="72" t="n">
        <x:v>46169.416666666664</x:v>
      </x:c>
      <x:c r="C40" t="str">
        <x:v>XRPUSDT</x:v>
      </x:c>
      <x:c r="D40" t="str">
        <x:v>OKX</x:v>
      </x:c>
      <x:c r="E40" t="str">
        <x:v>15m</x:v>
      </x:c>
      <x:c r="F40" t="str">
        <x:v>Long</x:v>
      </x:c>
      <x:c r="G40" s="74" t="n">
        <x:v>0.522288</x:v>
      </x:c>
      <x:c r="H40" s="74" t="n">
        <x:v>0.51896</x:v>
      </x:c>
      <x:c r="I40" s="74" t="n">
        <x:v>0.513086</x:v>
      </x:c>
      <x:c r="J40" s="74" t="n">
        <x:v>0.536567</x:v>
      </x:c>
      <x:c r="K40" s="76" t="n">
        <x:v>750</x:v>
      </x:c>
      <x:c r="L40" s="76" t="n">
        <x:v>10</x:v>
      </x:c>
      <x:c r="M40" s="76" t="n">
        <x:v>6</x:v>
      </x:c>
      <x:c r="N40" t="str">
        <x:v>VWAP reclaim</x:v>
      </x:c>
      <x:c r="O40" t="str">
        <x:v>Late entry</x:v>
      </x:c>
    </x:row>
    <x:row r="41">
      <x:c r="A41" t="n">
        <x:v>37</x:v>
      </x:c>
      <x:c r="B41" s="72" t="n">
        <x:v>46124.916666666664</x:v>
      </x:c>
      <x:c r="C41" t="str">
        <x:v>ADAUSDT</x:v>
      </x:c>
      <x:c r="D41" t="str">
        <x:v>Bybit</x:v>
      </x:c>
      <x:c r="E41" t="str">
        <x:v>15m</x:v>
      </x:c>
      <x:c r="F41" t="str">
        <x:v>Long</x:v>
      </x:c>
      <x:c r="G41" s="74" t="n">
        <x:v>0.526695</x:v>
      </x:c>
      <x:c r="H41" s="74" t="n">
        <x:v>0.534516</x:v>
      </x:c>
      <x:c r="I41" s="74" t="n">
        <x:v>0.515865</x:v>
      </x:c>
      <x:c r="J41" s="74" t="n">
        <x:v>0.548634</x:v>
      </x:c>
      <x:c r="K41" s="76" t="n">
        <x:v>150</x:v>
      </x:c>
      <x:c r="L41" s="76" t="n">
        <x:v>5</x:v>
      </x:c>
      <x:c r="M41" s="76" t="n">
        <x:v>0.6</x:v>
      </x:c>
      <x:c r="N41" t="str">
        <x:v>VWAP reclaim</x:v>
      </x:c>
      <x:c r="O41" t="str">
        <x:v>Ignored funding</x:v>
      </x:c>
    </x:row>
    <x:row r="42">
      <x:c r="A42" t="n">
        <x:v>38</x:v>
      </x:c>
      <x:c r="B42" s="72" t="n">
        <x:v>46166.791666666664</x:v>
      </x:c>
      <x:c r="C42" t="str">
        <x:v>WLFIUSDT</x:v>
      </x:c>
      <x:c r="D42" t="str">
        <x:v>OKX</x:v>
      </x:c>
      <x:c r="E42" t="str">
        <x:v>3m</x:v>
      </x:c>
      <x:c r="F42" t="str">
        <x:v>Short</x:v>
      </x:c>
      <x:c r="G42" s="74" t="n">
        <x:v>0.051827</x:v>
      </x:c>
      <x:c r="H42" s="74" t="n">
        <x:v>0.052751</x:v>
      </x:c>
      <x:c r="I42" s="74" t="n">
        <x:v>0.052296</x:v>
      </x:c>
      <x:c r="J42" s="74" t="n">
        <x:v>0.050586</x:v>
      </x:c>
      <x:c r="K42" s="76" t="n">
        <x:v>300</x:v>
      </x:c>
      <x:c r="L42" s="76" t="n">
        <x:v>2</x:v>
      </x:c>
      <x:c r="M42" s="76" t="n">
        <x:v>0.48</x:v>
      </x:c>
      <x:c r="N42" t="str">
        <x:v>VWAP reclaim</x:v>
      </x:c>
      <x:c r="O42" t="str">
        <x:v>Oversized</x:v>
      </x:c>
    </x:row>
    <x:row r="43">
      <x:c r="A43" t="n">
        <x:v>39</x:v>
      </x:c>
      <x:c r="B43" s="72" t="n">
        <x:v>46094.666666666664</x:v>
      </x:c>
      <x:c r="C43" t="str">
        <x:v>SOLUSDT</x:v>
      </x:c>
      <x:c r="D43" t="str">
        <x:v>Binance</x:v>
      </x:c>
      <x:c r="E43" t="str">
        <x:v>3m</x:v>
      </x:c>
      <x:c r="F43" t="str">
        <x:v>Short</x:v>
      </x:c>
      <x:c r="G43" s="74" t="n">
        <x:v>156.768344</x:v>
      </x:c>
      <x:c r="H43" s="74" t="n">
        <x:v>157.161821</x:v>
      </x:c>
      <x:c r="I43" s="74" t="n">
        <x:v>159.881455</x:v>
      </x:c>
      <x:c r="J43" s="74" t="n">
        <x:v>148.507905</x:v>
      </x:c>
      <x:c r="K43" s="76" t="n">
        <x:v>100</x:v>
      </x:c>
      <x:c r="L43" s="76" t="n">
        <x:v>5</x:v>
      </x:c>
      <x:c r="M43" s="76" t="n">
        <x:v>0.4</x:v>
      </x:c>
      <x:c r="N43" t="str">
        <x:v>Trend continuation</x:v>
      </x:c>
      <x:c r="O43" t="str">
        <x:v>None</x:v>
      </x:c>
    </x:row>
    <x:row r="44">
      <x:c r="A44" t="n">
        <x:v>40</x:v>
      </x:c>
      <x:c r="B44" s="72" t="n">
        <x:v>46056.041666666664</x:v>
      </x:c>
      <x:c r="C44" t="str">
        <x:v>ETHUSDT</x:v>
      </x:c>
      <x:c r="D44" t="str">
        <x:v>OKX</x:v>
      </x:c>
      <x:c r="E44" t="str">
        <x:v>15m</x:v>
      </x:c>
      <x:c r="F44" t="str">
        <x:v>Short</x:v>
      </x:c>
      <x:c r="G44" s="74" t="n">
        <x:v>3235.456353</x:v>
      </x:c>
      <x:c r="H44" s="74" t="n">
        <x:v>3190.004947</x:v>
      </x:c>
      <x:c r="I44" s="74" t="n">
        <x:v>3286.571728</x:v>
      </x:c>
      <x:c r="J44" s="74" t="n">
        <x:v>3139.358478</x:v>
      </x:c>
      <x:c r="K44" s="76" t="n">
        <x:v>1000</x:v>
      </x:c>
      <x:c r="L44" s="76" t="n">
        <x:v>10</x:v>
      </x:c>
      <x:c r="M44" s="76" t="n">
        <x:v>8</x:v>
      </x:c>
      <x:c r="N44" t="str">
        <x:v>VWAP reclaim</x:v>
      </x:c>
      <x:c r="O44" t="str">
        <x:v>No HTF confirmation</x:v>
      </x:c>
    </x:row>
    <x:row r="45">
      <x:c r="A45" t="n">
        <x:v>41</x:v>
      </x:c>
      <x:c r="B45" s="72" t="n">
        <x:v>46029.75</x:v>
      </x:c>
      <x:c r="C45" t="str">
        <x:v>FARTCOINUSDT</x:v>
      </x:c>
      <x:c r="D45" t="str">
        <x:v>Binance</x:v>
      </x:c>
      <x:c r="E45" t="str">
        <x:v>15m</x:v>
      </x:c>
      <x:c r="F45" t="str">
        <x:v>Long</x:v>
      </x:c>
      <x:c r="G45" s="74" t="n">
        <x:v>0.16371</x:v>
      </x:c>
      <x:c r="H45" s="74" t="n">
        <x:v>0.168283</x:v>
      </x:c>
      <x:c r="I45" s="74" t="n">
        <x:v>0.162172</x:v>
      </x:c>
      <x:c r="J45" s="74" t="n">
        <x:v>0.167585</x:v>
      </x:c>
      <x:c r="K45" s="76" t="n">
        <x:v>250</x:v>
      </x:c>
      <x:c r="L45" s="76" t="n">
        <x:v>1</x:v>
      </x:c>
      <x:c r="M45" s="76" t="n">
        <x:v>0.2</x:v>
      </x:c>
      <x:c r="N45" t="str">
        <x:v>OB retest</x:v>
      </x:c>
      <x:c r="O45" t="str">
        <x:v>Moved SL</x:v>
      </x:c>
    </x:row>
    <x:row r="46">
      <x:c r="A46" t="n">
        <x:v>42</x:v>
      </x:c>
      <x:c r="B46" s="72" t="n">
        <x:v>46160.083333333336</x:v>
      </x:c>
      <x:c r="C46" t="str">
        <x:v>BTCUSDT</x:v>
      </x:c>
      <x:c r="D46" t="str">
        <x:v>OKX</x:v>
      </x:c>
      <x:c r="E46" t="str">
        <x:v>1h</x:v>
      </x:c>
      <x:c r="F46" t="str">
        <x:v>Short</x:v>
      </x:c>
      <x:c r="G46" s="74" t="n">
        <x:v>58642.715977</x:v>
      </x:c>
      <x:c r="H46" s="74" t="n">
        <x:v>60037.347182</x:v>
      </x:c>
      <x:c r="I46" s="74" t="n">
        <x:v>59483.022242</x:v>
      </x:c>
      <x:c r="J46" s="74" t="n">
        <x:v>55552.25111</x:v>
      </x:c>
      <x:c r="K46" s="76" t="n">
        <x:v>750</x:v>
      </x:c>
      <x:c r="L46" s="76" t="n">
        <x:v>1</x:v>
      </x:c>
      <x:c r="M46" s="76" t="n">
        <x:v>0.6</x:v>
      </x:c>
      <x:c r="N46" t="str">
        <x:v>CVD divergence</x:v>
      </x:c>
      <x:c r="O46" t="str">
        <x:v>Late entry</x:v>
      </x:c>
    </x:row>
    <x:row r="47">
      <x:c r="A47" t="n">
        <x:v>43</x:v>
      </x:c>
      <x:c r="B47" s="72" t="n">
        <x:v>46140.291666666664</x:v>
      </x:c>
      <x:c r="C47" t="str">
        <x:v>BTCUSDT</x:v>
      </x:c>
      <x:c r="D47" t="str">
        <x:v>Binance</x:v>
      </x:c>
      <x:c r="E47" t="str">
        <x:v>1h</x:v>
      </x:c>
      <x:c r="F47" t="str">
        <x:v>Short</x:v>
      </x:c>
      <x:c r="G47" s="74" t="n">
        <x:v>57625.033279</x:v>
      </x:c>
      <x:c r="H47" s="74" t="n">
        <x:v>60509.866082</x:v>
      </x:c>
      <x:c r="I47" s="74" t="n">
        <x:v>58655.282891</x:v>
      </x:c>
      <x:c r="J47" s="74" t="n">
        <x:v>55155.824787</x:v>
      </x:c>
      <x:c r="K47" s="76" t="n">
        <x:v>100</x:v>
      </x:c>
      <x:c r="L47" s="76" t="n">
        <x:v>5</x:v>
      </x:c>
      <x:c r="M47" s="76" t="n">
        <x:v>0.4</x:v>
      </x:c>
      <x:c r="N47" t="str">
        <x:v>Liquidity sweep</x:v>
      </x:c>
      <x:c r="O47" t="str">
        <x:v>None</x:v>
      </x:c>
    </x:row>
    <x:row r="48">
      <x:c r="A48" t="n">
        <x:v>44</x:v>
      </x:c>
      <x:c r="B48" s="72" t="n">
        <x:v>46116.041666666664</x:v>
      </x:c>
      <x:c r="C48" t="str">
        <x:v>ETHUSDT</x:v>
      </x:c>
      <x:c r="D48" t="str">
        <x:v>Binance</x:v>
      </x:c>
      <x:c r="E48" t="str">
        <x:v>15m</x:v>
      </x:c>
      <x:c r="F48" t="str">
        <x:v>Long</x:v>
      </x:c>
      <x:c r="G48" s="74" t="n">
        <x:v>3047.918303</x:v>
      </x:c>
      <x:c r="H48" s="74" t="n">
        <x:v>3096.786822</x:v>
      </x:c>
      <x:c r="I48" s="74" t="n">
        <x:v>3008.399682</x:v>
      </x:c>
      <x:c r="J48" s="74" t="n">
        <x:v>3183.002227</x:v>
      </x:c>
      <x:c r="K48" s="76" t="n">
        <x:v>200</x:v>
      </x:c>
      <x:c r="L48" s="76" t="n">
        <x:v>10</x:v>
      </x:c>
      <x:c r="M48" s="76" t="n">
        <x:v>1.6</x:v>
      </x:c>
      <x:c r="N48" t="str">
        <x:v>CVD divergence</x:v>
      </x:c>
      <x:c r="O48" t="str">
        <x:v>Moved SL</x:v>
      </x:c>
    </x:row>
    <x:row r="49">
      <x:c r="A49" t="n">
        <x:v>45</x:v>
      </x:c>
      <x:c r="B49" s="72" t="n">
        <x:v>46074.125</x:v>
      </x:c>
      <x:c r="C49" t="str">
        <x:v>BNBUSDT</x:v>
      </x:c>
      <x:c r="D49" t="str">
        <x:v>Bybit</x:v>
      </x:c>
      <x:c r="E49" t="str">
        <x:v>5m</x:v>
      </x:c>
      <x:c r="F49" t="str">
        <x:v>Long</x:v>
      </x:c>
      <x:c r="G49" s="74" t="n">
        <x:v>568.936069</x:v>
      </x:c>
      <x:c r="H49" s="74" t="n">
        <x:v>548.43238</x:v>
      </x:c>
      <x:c r="I49" s="74" t="n">
        <x:v>558.819242</x:v>
      </x:c>
      <x:c r="J49" s="74" t="n">
        <x:v>579.992496</x:v>
      </x:c>
      <x:c r="K49" s="76" t="n">
        <x:v>750</x:v>
      </x:c>
      <x:c r="L49" s="76" t="n">
        <x:v>1</x:v>
      </x:c>
      <x:c r="M49" s="76" t="n">
        <x:v>0.6</x:v>
      </x:c>
      <x:c r="N49" t="str">
        <x:v>CVD divergence</x:v>
      </x:c>
      <x:c r="O49" t="str">
        <x:v>No HTF confirmation</x:v>
      </x:c>
    </x:row>
    <x:row r="50">
      <x:c r="A50" t="n">
        <x:v>46</x:v>
      </x:c>
      <x:c r="B50" s="72" t="n">
        <x:v>46066.666666666664</x:v>
      </x:c>
      <x:c r="C50" t="str">
        <x:v>BTCUSDT</x:v>
      </x:c>
      <x:c r="D50" t="str">
        <x:v>OKX</x:v>
      </x:c>
      <x:c r="E50" t="str">
        <x:v>15m</x:v>
      </x:c>
      <x:c r="F50" t="str">
        <x:v>Long</x:v>
      </x:c>
      <x:c r="G50" s="74" t="n">
        <x:v>69674.892328</x:v>
      </x:c>
      <x:c r="H50" s="74" t="n">
        <x:v>69881.459832</x:v>
      </x:c>
      <x:c r="I50" s="74" t="n">
        <x:v>68457.274131</x:v>
      </x:c>
      <x:c r="J50" s="74" t="n">
        <x:v>72626.011384</x:v>
      </x:c>
      <x:c r="K50" s="76" t="n">
        <x:v>100</x:v>
      </x:c>
      <x:c r="L50" s="76" t="n">
        <x:v>10</x:v>
      </x:c>
      <x:c r="M50" s="76" t="n">
        <x:v>0.8</x:v>
      </x:c>
      <x:c r="N50" t="str">
        <x:v>Trend continuation</x:v>
      </x:c>
      <x:c r="O50" t="str">
        <x:v>Late entry</x:v>
      </x:c>
    </x:row>
    <x:row r="51">
      <x:c r="A51" t="n">
        <x:v>47</x:v>
      </x:c>
      <x:c r="B51" s="72" t="n">
        <x:v>46083.041666666664</x:v>
      </x:c>
      <x:c r="C51" t="str">
        <x:v>SOLUSDT</x:v>
      </x:c>
      <x:c r="D51" t="str">
        <x:v>Binance</x:v>
      </x:c>
      <x:c r="E51" t="str">
        <x:v>5m</x:v>
      </x:c>
      <x:c r="F51" t="str">
        <x:v>Short</x:v>
      </x:c>
      <x:c r="G51" s="74" t="n">
        <x:v>145.721644</x:v>
      </x:c>
      <x:c r="H51" s="74" t="n">
        <x:v>152.187032</x:v>
      </x:c>
      <x:c r="I51" s="74" t="n">
        <x:v>147.4247</x:v>
      </x:c>
      <x:c r="J51" s="74" t="n">
        <x:v>138.473598</x:v>
      </x:c>
      <x:c r="K51" s="76" t="n">
        <x:v>200</x:v>
      </x:c>
      <x:c r="L51" s="76" t="n">
        <x:v>3</x:v>
      </x:c>
      <x:c r="M51" s="76" t="n">
        <x:v>0.48</x:v>
      </x:c>
      <x:c r="N51" t="str">
        <x:v>Trend continuation</x:v>
      </x:c>
      <x:c r="O51" t="str">
        <x:v>None</x:v>
      </x:c>
    </x:row>
    <x:row r="52">
      <x:c r="A52" t="n">
        <x:v>48</x:v>
      </x:c>
      <x:c r="B52" s="72" t="n">
        <x:v>46098.458333333336</x:v>
      </x:c>
      <x:c r="C52" t="str">
        <x:v>SOLUSDT</x:v>
      </x:c>
      <x:c r="D52" t="str">
        <x:v>Binance</x:v>
      </x:c>
      <x:c r="E52" t="str">
        <x:v>5m</x:v>
      </x:c>
      <x:c r="F52" t="str">
        <x:v>Long</x:v>
      </x:c>
      <x:c r="G52" s="74" t="n">
        <x:v>148.240813</x:v>
      </x:c>
      <x:c r="H52" s="74" t="n">
        <x:v>149.448226</x:v>
      </x:c>
      <x:c r="I52" s="74" t="n">
        <x:v>146.603358</x:v>
      </x:c>
      <x:c r="J52" s="74" t="n">
        <x:v>154.888557</x:v>
      </x:c>
      <x:c r="K52" s="76" t="n">
        <x:v>250</x:v>
      </x:c>
      <x:c r="L52" s="76" t="n">
        <x:v>10</x:v>
      </x:c>
      <x:c r="M52" s="76" t="n">
        <x:v>2</x:v>
      </x:c>
      <x:c r="N52" t="str">
        <x:v>Trend continuation</x:v>
      </x:c>
      <x:c r="O52" t="str">
        <x:v>Late entry</x:v>
      </x:c>
    </x:row>
    <x:row r="53">
      <x:c r="A53" t="n">
        <x:v>49</x:v>
      </x:c>
      <x:c r="B53" s="72" t="n">
        <x:v>46026.291666666664</x:v>
      </x:c>
      <x:c r="C53" t="str">
        <x:v>ETHUSDT</x:v>
      </x:c>
      <x:c r="D53" t="str">
        <x:v>OKX</x:v>
      </x:c>
      <x:c r="E53" t="str">
        <x:v>5m</x:v>
      </x:c>
      <x:c r="F53" t="str">
        <x:v>Short</x:v>
      </x:c>
      <x:c r="G53" s="74" t="n">
        <x:v>3754.429482</x:v>
      </x:c>
      <x:c r="H53" s="74" t="n">
        <x:v>3827.91031</x:v>
      </x:c>
      <x:c r="I53" s="74" t="n">
        <x:v>3816.470562</x:v>
      </x:c>
      <x:c r="J53" s="74" t="n">
        <x:v>3627.316264</x:v>
      </x:c>
      <x:c r="K53" s="76" t="n">
        <x:v>750</x:v>
      </x:c>
      <x:c r="L53" s="76" t="n">
        <x:v>10</x:v>
      </x:c>
      <x:c r="M53" s="76" t="n">
        <x:v>6</x:v>
      </x:c>
      <x:c r="N53" t="str">
        <x:v>Liquidity sweep</x:v>
      </x:c>
      <x:c r="O53" t="str">
        <x:v>None</x:v>
      </x:c>
    </x:row>
    <x:row r="54">
      <x:c r="A54" t="n">
        <x:v>50</x:v>
      </x:c>
      <x:c r="B54" s="72" t="n">
        <x:v>46037.25</x:v>
      </x:c>
      <x:c r="C54" t="str">
        <x:v>XRPUSDT</x:v>
      </x:c>
      <x:c r="D54" t="str">
        <x:v>OKX</x:v>
      </x:c>
      <x:c r="E54" t="str">
        <x:v>3m</x:v>
      </x:c>
      <x:c r="F54" t="str">
        <x:v>Long</x:v>
      </x:c>
      <x:c r="G54" s="74" t="n">
        <x:v>0.584571</x:v>
      </x:c>
      <x:c r="H54" s="74" t="n">
        <x:v>0.584075</x:v>
      </x:c>
      <x:c r="I54" s="74" t="n">
        <x:v>0.574616</x:v>
      </x:c>
      <x:c r="J54" s="74" t="n">
        <x:v>0.595459</x:v>
      </x:c>
      <x:c r="K54" s="76" t="n">
        <x:v>150</x:v>
      </x:c>
      <x:c r="L54" s="76" t="n">
        <x:v>2</x:v>
      </x:c>
      <x:c r="M54" s="76" t="n">
        <x:v>0.24</x:v>
      </x:c>
      <x:c r="N54" t="str">
        <x:v>Range deviation</x:v>
      </x:c>
      <x:c r="O54" t="str">
        <x:v>None</x:v>
      </x:c>
    </x:row>
    <x:row r="55">
      <x:c r="A55" t="n">
        <x:v>51</x:v>
      </x:c>
      <x:c r="B55" s="72" t="n">
        <x:v>46096.875</x:v>
      </x:c>
      <x:c r="C55" t="str">
        <x:v>WLFIUSDT</x:v>
      </x:c>
      <x:c r="D55" t="str">
        <x:v>Bybit</x:v>
      </x:c>
      <x:c r="E55" t="str">
        <x:v>3m</x:v>
      </x:c>
      <x:c r="F55" t="str">
        <x:v>Short</x:v>
      </x:c>
      <x:c r="G55" s="74" t="n">
        <x:v>0.05989</x:v>
      </x:c>
      <x:c r="H55" s="74" t="n">
        <x:v>0.059152</x:v>
      </x:c>
      <x:c r="I55" s="74" t="n">
        <x:v>0.06134</x:v>
      </x:c>
      <x:c r="J55" s="74" t="n">
        <x:v>0.057718</x:v>
      </x:c>
      <x:c r="K55" s="76" t="n">
        <x:v>250</x:v>
      </x:c>
      <x:c r="L55" s="76" t="n">
        <x:v>3</x:v>
      </x:c>
      <x:c r="M55" s="76" t="n">
        <x:v>0.6</x:v>
      </x:c>
      <x:c r="N55" t="str">
        <x:v>Liquidity sweep</x:v>
      </x:c>
      <x:c r="O55" t="str">
        <x:v>Oversized</x:v>
      </x:c>
    </x:row>
    <x:row r="56">
      <x:c r="A56" t="n">
        <x:v>52</x:v>
      </x:c>
      <x:c r="B56" s="72" t="n">
        <x:v>46168.083333333336</x:v>
      </x:c>
      <x:c r="C56" t="str">
        <x:v>BNBUSDT</x:v>
      </x:c>
      <x:c r="D56" t="str">
        <x:v>Bybit</x:v>
      </x:c>
      <x:c r="E56" t="str">
        <x:v>5m</x:v>
      </x:c>
      <x:c r="F56" t="str">
        <x:v>Long</x:v>
      </x:c>
      <x:c r="G56" s="74" t="n">
        <x:v>596.664696</x:v>
      </x:c>
      <x:c r="H56" s="74" t="n">
        <x:v>592.853022</x:v>
      </x:c>
      <x:c r="I56" s="74" t="n">
        <x:v>583.44615</x:v>
      </x:c>
      <x:c r="J56" s="74" t="n">
        <x:v>611.078579</x:v>
      </x:c>
      <x:c r="K56" s="76" t="n">
        <x:v>750</x:v>
      </x:c>
      <x:c r="L56" s="76" t="n">
        <x:v>10</x:v>
      </x:c>
      <x:c r="M56" s="76" t="n">
        <x:v>6</x:v>
      </x:c>
      <x:c r="N56" t="str">
        <x:v>Range deviation</x:v>
      </x:c>
      <x:c r="O56" t="str">
        <x:v>No HTF confirmation</x:v>
      </x:c>
    </x:row>
    <x:row r="57">
      <x:c r="A57" t="n">
        <x:v>53</x:v>
      </x:c>
      <x:c r="B57" s="72" t="n">
        <x:v>46039.041666666664</x:v>
      </x:c>
      <x:c r="C57" t="str">
        <x:v>ADAUSDT</x:v>
      </x:c>
      <x:c r="D57" t="str">
        <x:v>Bybit</x:v>
      </x:c>
      <x:c r="E57" t="str">
        <x:v>5m</x:v>
      </x:c>
      <x:c r="F57" t="str">
        <x:v>Long</x:v>
      </x:c>
      <x:c r="G57" s="74" t="n">
        <x:v>0.485167</x:v>
      </x:c>
      <x:c r="H57" s="74" t="n">
        <x:v>0.468442</x:v>
      </x:c>
      <x:c r="I57" s="74" t="n">
        <x:v>0.477006</x:v>
      </x:c>
      <x:c r="J57" s="74" t="n">
        <x:v>0.496022</x:v>
      </x:c>
      <x:c r="K57" s="76" t="n">
        <x:v>200</x:v>
      </x:c>
      <x:c r="L57" s="76" t="n">
        <x:v>3</x:v>
      </x:c>
      <x:c r="M57" s="76" t="n">
        <x:v>0.48</x:v>
      </x:c>
      <x:c r="N57" t="str">
        <x:v>Liquidity sweep</x:v>
      </x:c>
      <x:c r="O57" t="str">
        <x:v>No HTF confirmation</x:v>
      </x:c>
    </x:row>
    <x:row r="58">
      <x:c r="A58" t="n">
        <x:v>54</x:v>
      </x:c>
      <x:c r="B58" s="72" t="n">
        <x:v>46100.125</x:v>
      </x:c>
      <x:c r="C58" t="str">
        <x:v>BNBUSDT</x:v>
      </x:c>
      <x:c r="D58" t="str">
        <x:v>Binance</x:v>
      </x:c>
      <x:c r="E58" t="str">
        <x:v>5m</x:v>
      </x:c>
      <x:c r="F58" t="str">
        <x:v>Short</x:v>
      </x:c>
      <x:c r="G58" s="74" t="n">
        <x:v>520.364604</x:v>
      </x:c>
      <x:c r="H58" s="74" t="n">
        <x:v>520.480714</x:v>
      </x:c>
      <x:c r="I58" s="74" t="n">
        <x:v>530.921095</x:v>
      </x:c>
      <x:c r="J58" s="74" t="n">
        <x:v>511.725132</x:v>
      </x:c>
      <x:c r="K58" s="76" t="n">
        <x:v>500</x:v>
      </x:c>
      <x:c r="L58" s="76" t="n">
        <x:v>10</x:v>
      </x:c>
      <x:c r="M58" s="76" t="n">
        <x:v>4</x:v>
      </x:c>
      <x:c r="N58" t="str">
        <x:v>Trend continuation</x:v>
      </x:c>
      <x:c r="O58" t="str">
        <x:v>No HTF confirmation</x:v>
      </x:c>
    </x:row>
    <x:row r="59">
      <x:c r="A59" t="n">
        <x:v>55</x:v>
      </x:c>
      <x:c r="B59" s="72" t="n">
        <x:v>46033.833333333336</x:v>
      </x:c>
      <x:c r="C59" t="str">
        <x:v>SOLUSDT</x:v>
      </x:c>
      <x:c r="D59" t="str">
        <x:v>OKX</x:v>
      </x:c>
      <x:c r="E59" t="str">
        <x:v>3m</x:v>
      </x:c>
      <x:c r="F59" t="str">
        <x:v>Short</x:v>
      </x:c>
      <x:c r="G59" s="74" t="n">
        <x:v>164.944531</x:v>
      </x:c>
      <x:c r="H59" s="74" t="n">
        <x:v>158.889166</x:v>
      </x:c>
      <x:c r="I59" s="74" t="n">
        <x:v>167.557746</x:v>
      </x:c>
      <x:c r="J59" s="74" t="n">
        <x:v>158.710502</x:v>
      </x:c>
      <x:c r="K59" s="76" t="n">
        <x:v>1000</x:v>
      </x:c>
      <x:c r="L59" s="76" t="n">
        <x:v>3</x:v>
      </x:c>
      <x:c r="M59" s="76" t="n">
        <x:v>2.4</x:v>
      </x:c>
      <x:c r="N59" t="str">
        <x:v>OB retest</x:v>
      </x:c>
      <x:c r="O59" t="str">
        <x:v>Oversized</x:v>
      </x:c>
    </x:row>
    <x:row r="60">
      <x:c r="A60" t="n">
        <x:v>56</x:v>
      </x:c>
      <x:c r="B60" s="72" t="n">
        <x:v>46039.833333333336</x:v>
      </x:c>
      <x:c r="C60" t="str">
        <x:v>FARTCOINUSDT</x:v>
      </x:c>
      <x:c r="D60" t="str">
        <x:v>Binance</x:v>
      </x:c>
      <x:c r="E60" t="str">
        <x:v>1h</x:v>
      </x:c>
      <x:c r="F60" t="str">
        <x:v>Short</x:v>
      </x:c>
      <x:c r="G60" s="74" t="n">
        <x:v>0.168427</x:v>
      </x:c>
      <x:c r="H60" s="74" t="n">
        <x:v>0.165024</x:v>
      </x:c>
      <x:c r="I60" s="74" t="n">
        <x:v>0.172271</x:v>
      </x:c>
      <x:c r="J60" s="74" t="n">
        <x:v>0.164086</x:v>
      </x:c>
      <x:c r="K60" s="76" t="n">
        <x:v>500</x:v>
      </x:c>
      <x:c r="L60" s="76" t="n">
        <x:v>1</x:v>
      </x:c>
      <x:c r="M60" s="76" t="n">
        <x:v>0.4</x:v>
      </x:c>
      <x:c r="N60" t="str">
        <x:v>Liquidity sweep</x:v>
      </x:c>
      <x:c r="O60" t="str">
        <x:v>No HTF confirmation</x:v>
      </x:c>
    </x:row>
    <x:row r="61">
      <x:c r="A61" t="n">
        <x:v>57</x:v>
      </x:c>
      <x:c r="B61" s="72" t="n">
        <x:v>46067.916666666664</x:v>
      </x:c>
      <x:c r="C61" t="str">
        <x:v>BNBUSDT</x:v>
      </x:c>
      <x:c r="D61" t="str">
        <x:v>Bybit</x:v>
      </x:c>
      <x:c r="E61" t="str">
        <x:v>5m</x:v>
      </x:c>
      <x:c r="F61" t="str">
        <x:v>Long</x:v>
      </x:c>
      <x:c r="G61" s="74" t="n">
        <x:v>656.130911</x:v>
      </x:c>
      <x:c r="H61" s="74" t="n">
        <x:v>651.78199</x:v>
      </x:c>
      <x:c r="I61" s="74" t="n">
        <x:v>642.877107</x:v>
      </x:c>
      <x:c r="J61" s="74" t="n">
        <x:v>679.625677</x:v>
      </x:c>
      <x:c r="K61" s="76" t="n">
        <x:v>150</x:v>
      </x:c>
      <x:c r="L61" s="76" t="n">
        <x:v>3</x:v>
      </x:c>
      <x:c r="M61" s="76" t="n">
        <x:v>0.36</x:v>
      </x:c>
      <x:c r="N61" t="str">
        <x:v>Trend continuation</x:v>
      </x:c>
      <x:c r="O61" t="str">
        <x:v>Late entry</x:v>
      </x:c>
    </x:row>
    <x:row r="62">
      <x:c r="A62" t="n">
        <x:v>58</x:v>
      </x:c>
      <x:c r="B62" s="72" t="n">
        <x:v>46046.166666666664</x:v>
      </x:c>
      <x:c r="C62" t="str">
        <x:v>FARTCOINUSDT</x:v>
      </x:c>
      <x:c r="D62" t="str">
        <x:v>OKX</x:v>
      </x:c>
      <x:c r="E62" t="str">
        <x:v>3m</x:v>
      </x:c>
      <x:c r="F62" t="str">
        <x:v>Long</x:v>
      </x:c>
      <x:c r="G62" s="74" t="n">
        <x:v>0.145506</x:v>
      </x:c>
      <x:c r="H62" s="74" t="n">
        <x:v>0.148145</x:v>
      </x:c>
      <x:c r="I62" s="74" t="n">
        <x:v>0.142816</x:v>
      </x:c>
      <x:c r="J62" s="74" t="n">
        <x:v>0.149626</x:v>
      </x:c>
      <x:c r="K62" s="76" t="n">
        <x:v>500</x:v>
      </x:c>
      <x:c r="L62" s="76" t="n">
        <x:v>10</x:v>
      </x:c>
      <x:c r="M62" s="76" t="n">
        <x:v>4</x:v>
      </x:c>
      <x:c r="N62" t="str">
        <x:v>Liquidity sweep</x:v>
      </x:c>
      <x:c r="O62" t="str">
        <x:v>Late entry</x:v>
      </x:c>
    </x:row>
    <x:row r="63">
      <x:c r="A63" t="n">
        <x:v>59</x:v>
      </x:c>
      <x:c r="B63" s="72" t="n">
        <x:v>46155.583333333336</x:v>
      </x:c>
      <x:c r="C63" t="str">
        <x:v>XRPUSDT</x:v>
      </x:c>
      <x:c r="D63" t="str">
        <x:v>OKX</x:v>
      </x:c>
      <x:c r="E63" t="str">
        <x:v>15m</x:v>
      </x:c>
      <x:c r="F63" t="str">
        <x:v>Long</x:v>
      </x:c>
      <x:c r="G63" s="74" t="n">
        <x:v>0.469367</x:v>
      </x:c>
      <x:c r="H63" s="74" t="n">
        <x:v>0.459127</x:v>
      </x:c>
      <x:c r="I63" s="74" t="n">
        <x:v>0.463734</x:v>
      </x:c>
      <x:c r="J63" s="74" t="n">
        <x:v>0.479263</x:v>
      </x:c>
      <x:c r="K63" s="76" t="n">
        <x:v>250</x:v>
      </x:c>
      <x:c r="L63" s="76" t="n">
        <x:v>1</x:v>
      </x:c>
      <x:c r="M63" s="76" t="n">
        <x:v>0.2</x:v>
      </x:c>
      <x:c r="N63" t="str">
        <x:v>Range deviation</x:v>
      </x:c>
      <x:c r="O63" t="str">
        <x:v>Oversized</x:v>
      </x:c>
    </x:row>
    <x:row r="64">
      <x:c r="A64" t="n">
        <x:v>60</x:v>
      </x:c>
      <x:c r="B64" s="72" t="n">
        <x:v>46030.5</x:v>
      </x:c>
      <x:c r="C64" t="str">
        <x:v>FARTCOINUSDT</x:v>
      </x:c>
      <x:c r="D64" t="str">
        <x:v>Binance</x:v>
      </x:c>
      <x:c r="E64" t="str">
        <x:v>3m</x:v>
      </x:c>
      <x:c r="F64" t="str">
        <x:v>Short</x:v>
      </x:c>
      <x:c r="G64" s="74" t="n">
        <x:v>0.174841</x:v>
      </x:c>
      <x:c r="H64" s="74" t="n">
        <x:v>0.172293</x:v>
      </x:c>
      <x:c r="I64" s="74" t="n">
        <x:v>0.178418</x:v>
      </x:c>
      <x:c r="J64" s="74" t="n">
        <x:v>0.17205</x:v>
      </x:c>
      <x:c r="K64" s="76" t="n">
        <x:v>300</x:v>
      </x:c>
      <x:c r="L64" s="76" t="n">
        <x:v>1</x:v>
      </x:c>
      <x:c r="M64" s="76" t="n">
        <x:v>0.24</x:v>
      </x:c>
      <x:c r="N64" t="str">
        <x:v>Range deviation</x:v>
      </x:c>
      <x:c r="O64" t="str">
        <x:v>Oversized</x:v>
      </x:c>
    </x:row>
    <x:row r="65">
      <x:c r="A65" t="n">
        <x:v>61</x:v>
      </x:c>
      <x:c r="B65" s="72" t="n">
        <x:v>46105.833333333336</x:v>
      </x:c>
      <x:c r="C65" t="str">
        <x:v>BTCUSDT</x:v>
      </x:c>
      <x:c r="D65" t="str">
        <x:v>Bybit</x:v>
      </x:c>
      <x:c r="E65" t="str">
        <x:v>15m</x:v>
      </x:c>
      <x:c r="F65" t="str">
        <x:v>Long</x:v>
      </x:c>
      <x:c r="G65" s="74" t="n">
        <x:v>68247.78135</x:v>
      </x:c>
      <x:c r="H65" s="74" t="n">
        <x:v>66713.306947</x:v>
      </x:c>
      <x:c r="I65" s="74" t="n">
        <x:v>66809.365116</x:v>
      </x:c>
      <x:c r="J65" s="74" t="n">
        <x:v>70169.681392</x:v>
      </x:c>
      <x:c r="K65" s="76" t="n">
        <x:v>100</x:v>
      </x:c>
      <x:c r="L65" s="76" t="n">
        <x:v>2</x:v>
      </x:c>
      <x:c r="M65" s="76" t="n">
        <x:v>0.16</x:v>
      </x:c>
      <x:c r="N65" t="str">
        <x:v>CVD divergence</x:v>
      </x:c>
      <x:c r="O65" t="str">
        <x:v>Late entry</x:v>
      </x:c>
    </x:row>
    <x:row r="66">
      <x:c r="A66" t="n">
        <x:v>62</x:v>
      </x:c>
      <x:c r="B66" s="72" t="n">
        <x:v>46111.583333333336</x:v>
      </x:c>
      <x:c r="C66" t="str">
        <x:v>WLFIUSDT</x:v>
      </x:c>
      <x:c r="D66" t="str">
        <x:v>OKX</x:v>
      </x:c>
      <x:c r="E66" t="str">
        <x:v>15m</x:v>
      </x:c>
      <x:c r="F66" t="str">
        <x:v>Short</x:v>
      </x:c>
      <x:c r="G66" s="74" t="n">
        <x:v>0.065498</x:v>
      </x:c>
      <x:c r="H66" s="74" t="n">
        <x:v>0.06729</x:v>
      </x:c>
      <x:c r="I66" s="74" t="n">
        <x:v>0.066032</x:v>
      </x:c>
      <x:c r="J66" s="74" t="n">
        <x:v>0.063244</x:v>
      </x:c>
      <x:c r="K66" s="76" t="n">
        <x:v>500</x:v>
      </x:c>
      <x:c r="L66" s="76" t="n">
        <x:v>3</x:v>
      </x:c>
      <x:c r="M66" s="76" t="n">
        <x:v>1.2</x:v>
      </x:c>
      <x:c r="N66" t="str">
        <x:v>Range deviation</x:v>
      </x:c>
      <x:c r="O66" t="str">
        <x:v>No HTF confirmation</x:v>
      </x:c>
    </x:row>
    <x:row r="67">
      <x:c r="A67" t="n">
        <x:v>63</x:v>
      </x:c>
      <x:c r="B67" s="72" t="n">
        <x:v>46042.833333333336</x:v>
      </x:c>
      <x:c r="C67" t="str">
        <x:v>ETHUSDT</x:v>
      </x:c>
      <x:c r="D67" t="str">
        <x:v>Binance</x:v>
      </x:c>
      <x:c r="E67" t="str">
        <x:v>1h</x:v>
      </x:c>
      <x:c r="F67" t="str">
        <x:v>Short</x:v>
      </x:c>
      <x:c r="G67" s="74" t="n">
        <x:v>3333.343057</x:v>
      </x:c>
      <x:c r="H67" s="74" t="n">
        <x:v>3358.398778</x:v>
      </x:c>
      <x:c r="I67" s="74" t="n">
        <x:v>3361.871579</x:v>
      </x:c>
      <x:c r="J67" s="74" t="n">
        <x:v>3240.591371</x:v>
      </x:c>
      <x:c r="K67" s="76" t="n">
        <x:v>100</x:v>
      </x:c>
      <x:c r="L67" s="76" t="n">
        <x:v>5</x:v>
      </x:c>
      <x:c r="M67" s="76" t="n">
        <x:v>0.4</x:v>
      </x:c>
      <x:c r="N67" t="str">
        <x:v>CVD divergence</x:v>
      </x:c>
      <x:c r="O67" t="str">
        <x:v>None</x:v>
      </x:c>
    </x:row>
    <x:row r="68">
      <x:c r="A68" t="n">
        <x:v>64</x:v>
      </x:c>
      <x:c r="B68" s="72" t="n">
        <x:v>46061.333333333336</x:v>
      </x:c>
      <x:c r="C68" t="str">
        <x:v>XRPUSDT</x:v>
      </x:c>
      <x:c r="D68" t="str">
        <x:v>Binance</x:v>
      </x:c>
      <x:c r="E68" t="str">
        <x:v>1h</x:v>
      </x:c>
      <x:c r="F68" t="str">
        <x:v>Short</x:v>
      </x:c>
      <x:c r="G68" s="74" t="n">
        <x:v>0.483483</x:v>
      </x:c>
      <x:c r="H68" s="74" t="n">
        <x:v>0.481181</x:v>
      </x:c>
      <x:c r="I68" s="74" t="n">
        <x:v>0.487553</x:v>
      </x:c>
      <x:c r="J68" s="74" t="n">
        <x:v>0.473617</x:v>
      </x:c>
      <x:c r="K68" s="76" t="n">
        <x:v>100</x:v>
      </x:c>
      <x:c r="L68" s="76" t="n">
        <x:v>3</x:v>
      </x:c>
      <x:c r="M68" s="76" t="n">
        <x:v>0.24</x:v>
      </x:c>
      <x:c r="N68" t="str">
        <x:v>CVD divergence</x:v>
      </x:c>
      <x:c r="O68" t="str">
        <x:v>Oversized</x:v>
      </x:c>
    </x:row>
    <x:row r="69">
      <x:c r="A69" t="n">
        <x:v>65</x:v>
      </x:c>
      <x:c r="B69" s="72" t="n">
        <x:v>46145</x:v>
      </x:c>
      <x:c r="C69" t="str">
        <x:v>BTCUSDT</x:v>
      </x:c>
      <x:c r="D69" t="str">
        <x:v>OKX</x:v>
      </x:c>
      <x:c r="E69" t="str">
        <x:v>5m</x:v>
      </x:c>
      <x:c r="F69" t="str">
        <x:v>Long</x:v>
      </x:c>
      <x:c r="G69" s="74" t="n">
        <x:v>67165.262576</x:v>
      </x:c>
      <x:c r="H69" s="74" t="n">
        <x:v>65310.913661</x:v>
      </x:c>
      <x:c r="I69" s="74" t="n">
        <x:v>65635.038744</x:v>
      </x:c>
      <x:c r="J69" s="74" t="n">
        <x:v>69053.043279</x:v>
      </x:c>
      <x:c r="K69" s="76" t="n">
        <x:v>1000</x:v>
      </x:c>
      <x:c r="L69" s="76" t="n">
        <x:v>2</x:v>
      </x:c>
      <x:c r="M69" s="76" t="n">
        <x:v>1.6</x:v>
      </x:c>
      <x:c r="N69" t="str">
        <x:v>CVD divergence</x:v>
      </x:c>
      <x:c r="O69" t="str">
        <x:v>Ignored funding</x:v>
      </x:c>
    </x:row>
    <x:row r="70">
      <x:c r="A70" t="n">
        <x:v>66</x:v>
      </x:c>
      <x:c r="B70" s="72" t="n">
        <x:v>46102.791666666664</x:v>
      </x:c>
      <x:c r="C70" t="str">
        <x:v>SOLUSDT</x:v>
      </x:c>
      <x:c r="D70" t="str">
        <x:v>Bybit</x:v>
      </x:c>
      <x:c r="E70" t="str">
        <x:v>15m</x:v>
      </x:c>
      <x:c r="F70" t="str">
        <x:v>Short</x:v>
      </x:c>
      <x:c r="G70" s="74" t="n">
        <x:v>154.649822</x:v>
      </x:c>
      <x:c r="H70" s="74" t="n">
        <x:v>155.894483</x:v>
      </x:c>
      <x:c r="I70" s="74" t="n">
        <x:v>157.474154</x:v>
      </x:c>
      <x:c r="J70" s="74" t="n">
        <x:v>148.625811</x:v>
      </x:c>
      <x:c r="K70" s="76" t="n">
        <x:v>300</x:v>
      </x:c>
      <x:c r="L70" s="76" t="n">
        <x:v>1</x:v>
      </x:c>
      <x:c r="M70" s="76" t="n">
        <x:v>0.24</x:v>
      </x:c>
      <x:c r="N70" t="str">
        <x:v>Liquidity sweep</x:v>
      </x:c>
      <x:c r="O70" t="str">
        <x:v>None</x:v>
      </x:c>
    </x:row>
    <x:row r="71">
      <x:c r="A71" t="n">
        <x:v>67</x:v>
      </x:c>
      <x:c r="B71" s="72" t="n">
        <x:v>46084.25</x:v>
      </x:c>
      <x:c r="C71" t="str">
        <x:v>ADAUSDT</x:v>
      </x:c>
      <x:c r="D71" t="str">
        <x:v>Binance</x:v>
      </x:c>
      <x:c r="E71" t="str">
        <x:v>5m</x:v>
      </x:c>
      <x:c r="F71" t="str">
        <x:v>Short</x:v>
      </x:c>
      <x:c r="G71" s="74" t="n">
        <x:v>0.469367</x:v>
      </x:c>
      <x:c r="H71" s="74" t="n">
        <x:v>0.48769</x:v>
      </x:c>
      <x:c r="I71" s="74" t="n">
        <x:v>0.477053</x:v>
      </x:c>
      <x:c r="J71" s="74" t="n">
        <x:v>0.448901</x:v>
      </x:c>
      <x:c r="K71" s="76" t="n">
        <x:v>1000</x:v>
      </x:c>
      <x:c r="L71" s="76" t="n">
        <x:v>3</x:v>
      </x:c>
      <x:c r="M71" s="76" t="n">
        <x:v>2.4</x:v>
      </x:c>
      <x:c r="N71" t="str">
        <x:v>OB retest</x:v>
      </x:c>
      <x:c r="O71" t="str">
        <x:v>No HTF confirmation</x:v>
      </x:c>
    </x:row>
    <x:row r="72">
      <x:c r="A72" t="n">
        <x:v>68</x:v>
      </x:c>
      <x:c r="B72" s="72" t="n">
        <x:v>46158.875</x:v>
      </x:c>
      <x:c r="C72" t="str">
        <x:v>XRPUSDT</x:v>
      </x:c>
      <x:c r="D72" t="str">
        <x:v>OKX</x:v>
      </x:c>
      <x:c r="E72" t="str">
        <x:v>5m</x:v>
      </x:c>
      <x:c r="F72" t="str">
        <x:v>Long</x:v>
      </x:c>
      <x:c r="G72" s="74" t="n">
        <x:v>0.554326</x:v>
      </x:c>
      <x:c r="H72" s="74" t="n">
        <x:v>0.54977</x:v>
      </x:c>
      <x:c r="I72" s="74" t="n">
        <x:v>0.549369</x:v>
      </x:c>
      <x:c r="J72" s="74" t="n">
        <x:v>0.569042</x:v>
      </x:c>
      <x:c r="K72" s="76" t="n">
        <x:v>100</x:v>
      </x:c>
      <x:c r="L72" s="76" t="n">
        <x:v>5</x:v>
      </x:c>
      <x:c r="M72" s="76" t="n">
        <x:v>0.4</x:v>
      </x:c>
      <x:c r="N72" t="str">
        <x:v>Liquidity sweep</x:v>
      </x:c>
      <x:c r="O72" t="str">
        <x:v>Oversized</x:v>
      </x:c>
    </x:row>
    <x:row r="73">
      <x:c r="A73" t="n">
        <x:v>69</x:v>
      </x:c>
      <x:c r="B73" s="72" t="n">
        <x:v>46127.5</x:v>
      </x:c>
      <x:c r="C73" t="str">
        <x:v>ADAUSDT</x:v>
      </x:c>
      <x:c r="D73" t="str">
        <x:v>Bybit</x:v>
      </x:c>
      <x:c r="E73" t="str">
        <x:v>15m</x:v>
      </x:c>
      <x:c r="F73" t="str">
        <x:v>Long</x:v>
      </x:c>
      <x:c r="G73" s="74" t="n">
        <x:v>0.470603</x:v>
      </x:c>
      <x:c r="H73" s="74" t="n">
        <x:v>0.463024</x:v>
      </x:c>
      <x:c r="I73" s="74" t="n">
        <x:v>0.461874</x:v>
      </x:c>
      <x:c r="J73" s="74" t="n">
        <x:v>0.482763</x:v>
      </x:c>
      <x:c r="K73" s="76" t="n">
        <x:v>200</x:v>
      </x:c>
      <x:c r="L73" s="76" t="n">
        <x:v>1</x:v>
      </x:c>
      <x:c r="M73" s="76" t="n">
        <x:v>0.16</x:v>
      </x:c>
      <x:c r="N73" t="str">
        <x:v>VWAP reclaim</x:v>
      </x:c>
      <x:c r="O73" t="str">
        <x:v>Moved SL</x:v>
      </x:c>
    </x:row>
    <x:row r="74">
      <x:c r="A74" t="n">
        <x:v>70</x:v>
      </x:c>
      <x:c r="B74" s="72" t="n">
        <x:v>46153.958333333336</x:v>
      </x:c>
      <x:c r="C74" t="str">
        <x:v>WLFIUSDT</x:v>
      </x:c>
      <x:c r="D74" t="str">
        <x:v>OKX</x:v>
      </x:c>
      <x:c r="E74" t="str">
        <x:v>3m</x:v>
      </x:c>
      <x:c r="F74" t="str">
        <x:v>Long</x:v>
      </x:c>
      <x:c r="G74" s="74" t="n">
        <x:v>0.060748</x:v>
      </x:c>
      <x:c r="H74" s="74" t="n">
        <x:v>0.061436</x:v>
      </x:c>
      <x:c r="I74" s="74" t="n">
        <x:v>0.060214</x:v>
      </x:c>
      <x:c r="J74" s="74" t="n">
        <x:v>0.063678</x:v>
      </x:c>
      <x:c r="K74" s="76" t="n">
        <x:v>300</x:v>
      </x:c>
      <x:c r="L74" s="76" t="n">
        <x:v>3</x:v>
      </x:c>
      <x:c r="M74" s="76" t="n">
        <x:v>0.72</x:v>
      </x:c>
      <x:c r="N74" t="str">
        <x:v>Range deviation</x:v>
      </x:c>
      <x:c r="O74" t="str">
        <x:v>No HTF confirmation</x:v>
      </x:c>
    </x:row>
    <x:row r="75">
      <x:c r="A75" t="n">
        <x:v>71</x:v>
      </x:c>
      <x:c r="B75" s="72" t="n">
        <x:v>46048.25</x:v>
      </x:c>
      <x:c r="C75" t="str">
        <x:v>XRPUSDT</x:v>
      </x:c>
      <x:c r="D75" t="str">
        <x:v>Bybit</x:v>
      </x:c>
      <x:c r="E75" t="str">
        <x:v>15m</x:v>
      </x:c>
      <x:c r="F75" t="str">
        <x:v>Short</x:v>
      </x:c>
      <x:c r="G75" s="74" t="n">
        <x:v>0.474401</x:v>
      </x:c>
      <x:c r="H75" s="74" t="n">
        <x:v>0.45643</x:v>
      </x:c>
      <x:c r="I75" s="74" t="n">
        <x:v>0.482036</x:v>
      </x:c>
      <x:c r="J75" s="74" t="n">
        <x:v>0.457282</x:v>
      </x:c>
      <x:c r="K75" s="76" t="n">
        <x:v>100</x:v>
      </x:c>
      <x:c r="L75" s="76" t="n">
        <x:v>10</x:v>
      </x:c>
      <x:c r="M75" s="76" t="n">
        <x:v>0.8</x:v>
      </x:c>
      <x:c r="N75" t="str">
        <x:v>VWAP reclaim</x:v>
      </x:c>
      <x:c r="O75" t="str">
        <x:v>Moved SL</x:v>
      </x:c>
    </x:row>
    <x:row r="76">
      <x:c r="A76" t="n">
        <x:v>72</x:v>
      </x:c>
      <x:c r="B76" s="72" t="n">
        <x:v>46135.75</x:v>
      </x:c>
      <x:c r="C76" t="str">
        <x:v>ADAUSDT</x:v>
      </x:c>
      <x:c r="D76" t="str">
        <x:v>Bybit</x:v>
      </x:c>
      <x:c r="E76" t="str">
        <x:v>3m</x:v>
      </x:c>
      <x:c r="F76" t="str">
        <x:v>Long</x:v>
      </x:c>
      <x:c r="G76" s="74" t="n">
        <x:v>0.437379</x:v>
      </x:c>
      <x:c r="H76" s="74" t="n">
        <x:v>0.428819</x:v>
      </x:c>
      <x:c r="I76" s="74" t="n">
        <x:v>0.428872</x:v>
      </x:c>
      <x:c r="J76" s="74" t="n">
        <x:v>0.460931</x:v>
      </x:c>
      <x:c r="K76" s="76" t="n">
        <x:v>750</x:v>
      </x:c>
      <x:c r="L76" s="76" t="n">
        <x:v>3</x:v>
      </x:c>
      <x:c r="M76" s="76" t="n">
        <x:v>1.8</x:v>
      </x:c>
      <x:c r="N76" t="str">
        <x:v>Range deviation</x:v>
      </x:c>
      <x:c r="O76" t="str">
        <x:v>None</x:v>
      </x:c>
    </x:row>
    <x:row r="77">
      <x:c r="A77" t="n">
        <x:v>73</x:v>
      </x:c>
      <x:c r="B77" s="72" t="n">
        <x:v>46124.041666666664</x:v>
      </x:c>
      <x:c r="C77" t="str">
        <x:v>FARTCOINUSDT</x:v>
      </x:c>
      <x:c r="D77" t="str">
        <x:v>Binance</x:v>
      </x:c>
      <x:c r="E77" t="str">
        <x:v>15m</x:v>
      </x:c>
      <x:c r="F77" t="str">
        <x:v>Short</x:v>
      </x:c>
      <x:c r="G77" s="74" t="n">
        <x:v>0.155083</x:v>
      </x:c>
      <x:c r="H77" s="74" t="n">
        <x:v>0.15172</x:v>
      </x:c>
      <x:c r="I77" s="74" t="n">
        <x:v>0.156491</x:v>
      </x:c>
      <x:c r="J77" s="74" t="n">
        <x:v>0.146756</x:v>
      </x:c>
      <x:c r="K77" s="76" t="n">
        <x:v>100</x:v>
      </x:c>
      <x:c r="L77" s="76" t="n">
        <x:v>10</x:v>
      </x:c>
      <x:c r="M77" s="76" t="n">
        <x:v>0.8</x:v>
      </x:c>
      <x:c r="N77" t="str">
        <x:v>Range deviation</x:v>
      </x:c>
      <x:c r="O77" t="str">
        <x:v>Moved SL</x:v>
      </x:c>
    </x:row>
    <x:row r="78">
      <x:c r="A78" t="n">
        <x:v>74</x:v>
      </x:c>
      <x:c r="B78" s="72" t="n">
        <x:v>46079.666666666664</x:v>
      </x:c>
      <x:c r="C78" t="str">
        <x:v>WLFIUSDT</x:v>
      </x:c>
      <x:c r="D78" t="str">
        <x:v>OKX</x:v>
      </x:c>
      <x:c r="E78" t="str">
        <x:v>15m</x:v>
      </x:c>
      <x:c r="F78" t="str">
        <x:v>Short</x:v>
      </x:c>
      <x:c r="G78" s="74" t="n">
        <x:v>0.066433</x:v>
      </x:c>
      <x:c r="H78" s="74" t="n">
        <x:v>0.065695</x:v>
      </x:c>
      <x:c r="I78" s="74" t="n">
        <x:v>0.067328</x:v>
      </x:c>
      <x:c r="J78" s="74" t="n">
        <x:v>0.063391</x:v>
      </x:c>
      <x:c r="K78" s="76" t="n">
        <x:v>500</x:v>
      </x:c>
      <x:c r="L78" s="76" t="n">
        <x:v>10</x:v>
      </x:c>
      <x:c r="M78" s="76" t="n">
        <x:v>4</x:v>
      </x:c>
      <x:c r="N78" t="str">
        <x:v>OB retest</x:v>
      </x:c>
      <x:c r="O78" t="str">
        <x:v>None</x:v>
      </x:c>
    </x:row>
    <x:row r="79">
      <x:c r="A79" t="n">
        <x:v>75</x:v>
      </x:c>
      <x:c r="B79" s="72" t="n">
        <x:v>46163.291666666664</x:v>
      </x:c>
      <x:c r="C79" t="str">
        <x:v>XRPUSDT</x:v>
      </x:c>
      <x:c r="D79" t="str">
        <x:v>Bybit</x:v>
      </x:c>
      <x:c r="E79" t="str">
        <x:v>15m</x:v>
      </x:c>
      <x:c r="F79" t="str">
        <x:v>Long</x:v>
      </x:c>
      <x:c r="G79" s="74" t="n">
        <x:v>0.533163</x:v>
      </x:c>
      <x:c r="H79" s="74" t="n">
        <x:v>0.53413</x:v>
      </x:c>
      <x:c r="I79" s="74" t="n">
        <x:v>0.52031</x:v>
      </x:c>
      <x:c r="J79" s="74" t="n">
        <x:v>0.5595</x:v>
      </x:c>
      <x:c r="K79" s="76" t="n">
        <x:v>750</x:v>
      </x:c>
      <x:c r="L79" s="76" t="n">
        <x:v>10</x:v>
      </x:c>
      <x:c r="M79" s="76" t="n">
        <x:v>6</x:v>
      </x:c>
      <x:c r="N79" t="str">
        <x:v>OB retest</x:v>
      </x:c>
      <x:c r="O79" t="str">
        <x:v>No HTF confirmation</x:v>
      </x:c>
    </x:row>
    <x:row r="80">
      <x:c r="A80" t="n">
        <x:v>76</x:v>
      </x:c>
      <x:c r="B80" s="72" t="n">
        <x:v>46098.166666666664</x:v>
      </x:c>
      <x:c r="C80" t="str">
        <x:v>BTCUSDT</x:v>
      </x:c>
      <x:c r="D80" t="str">
        <x:v>Binance</x:v>
      </x:c>
      <x:c r="E80" t="str">
        <x:v>15m</x:v>
      </x:c>
      <x:c r="F80" t="str">
        <x:v>Long</x:v>
      </x:c>
      <x:c r="G80" s="74" t="n">
        <x:v>72453.601219</x:v>
      </x:c>
      <x:c r="H80" s="74" t="n">
        <x:v>73719.47163</x:v>
      </x:c>
      <x:c r="I80" s="74" t="n">
        <x:v>71295.23541</x:v>
      </x:c>
      <x:c r="J80" s="74" t="n">
        <x:v>75206.261238</x:v>
      </x:c>
      <x:c r="K80" s="76" t="n">
        <x:v>500</x:v>
      </x:c>
      <x:c r="L80" s="76" t="n">
        <x:v>2</x:v>
      </x:c>
      <x:c r="M80" s="76" t="n">
        <x:v>0.8</x:v>
      </x:c>
      <x:c r="N80" t="str">
        <x:v>VWAP reclaim</x:v>
      </x:c>
      <x:c r="O80" t="str">
        <x:v>Moved SL</x:v>
      </x:c>
    </x:row>
    <x:row r="81">
      <x:c r="A81" t="n">
        <x:v>77</x:v>
      </x:c>
      <x:c r="B81" s="72" t="n">
        <x:v>46159.166666666664</x:v>
      </x:c>
      <x:c r="C81" t="str">
        <x:v>BTCUSDT</x:v>
      </x:c>
      <x:c r="D81" t="str">
        <x:v>Bybit</x:v>
      </x:c>
      <x:c r="E81" t="str">
        <x:v>15m</x:v>
      </x:c>
      <x:c r="F81" t="str">
        <x:v>Long</x:v>
      </x:c>
      <x:c r="G81" s="74" t="n">
        <x:v>76751.254192</x:v>
      </x:c>
      <x:c r="H81" s="74" t="n">
        <x:v>75586.391379</x:v>
      </x:c>
      <x:c r="I81" s="74" t="n">
        <x:v>75032.482313</x:v>
      </x:c>
      <x:c r="J81" s="74" t="n">
        <x:v>79172.728825</x:v>
      </x:c>
      <x:c r="K81" s="76" t="n">
        <x:v>100</x:v>
      </x:c>
      <x:c r="L81" s="76" t="n">
        <x:v>1</x:v>
      </x:c>
      <x:c r="M81" s="76" t="n">
        <x:v>0.08</x:v>
      </x:c>
      <x:c r="N81" t="str">
        <x:v>CVD divergence</x:v>
      </x:c>
      <x:c r="O81" t="str">
        <x:v>Oversized</x:v>
      </x:c>
    </x:row>
    <x:row r="82">
      <x:c r="A82" t="n">
        <x:v>78</x:v>
      </x:c>
      <x:c r="B82" s="72" t="n">
        <x:v>46028.958333333336</x:v>
      </x:c>
      <x:c r="C82" t="str">
        <x:v>BNBUSDT</x:v>
      </x:c>
      <x:c r="D82" t="str">
        <x:v>Bybit</x:v>
      </x:c>
      <x:c r="E82" t="str">
        <x:v>3m</x:v>
      </x:c>
      <x:c r="F82" t="str">
        <x:v>Short</x:v>
      </x:c>
      <x:c r="G82" s="74" t="n">
        <x:v>564.089879</x:v>
      </x:c>
      <x:c r="H82" s="74" t="n">
        <x:v>565.891631</x:v>
      </x:c>
      <x:c r="I82" s="74" t="n">
        <x:v>571.90706</x:v>
      </x:c>
      <x:c r="J82" s="74" t="n">
        <x:v>548.800773</x:v>
      </x:c>
      <x:c r="K82" s="76" t="n">
        <x:v>100</x:v>
      </x:c>
      <x:c r="L82" s="76" t="n">
        <x:v>1</x:v>
      </x:c>
      <x:c r="M82" s="76" t="n">
        <x:v>0.08</x:v>
      </x:c>
      <x:c r="N82" t="str">
        <x:v>CVD divergence</x:v>
      </x:c>
      <x:c r="O82" t="str">
        <x:v>Moved SL</x:v>
      </x:c>
    </x:row>
    <x:row r="83">
      <x:c r="A83" t="n">
        <x:v>79</x:v>
      </x:c>
      <x:c r="B83" s="72" t="n">
        <x:v>46081.166666666664</x:v>
      </x:c>
      <x:c r="C83" t="str">
        <x:v>FARTCOINUSDT</x:v>
      </x:c>
      <x:c r="D83" t="str">
        <x:v>Bybit</x:v>
      </x:c>
      <x:c r="E83" t="str">
        <x:v>5m</x:v>
      </x:c>
      <x:c r="F83" t="str">
        <x:v>Short</x:v>
      </x:c>
      <x:c r="G83" s="74" t="n">
        <x:v>0.145711</x:v>
      </x:c>
      <x:c r="H83" s="74" t="n">
        <x:v>0.152</x:v>
      </x:c>
      <x:c r="I83" s="74" t="n">
        <x:v>0.14926</x:v>
      </x:c>
      <x:c r="J83" s="74" t="n">
        <x:v>0.13904</x:v>
      </x:c>
      <x:c r="K83" s="76" t="n">
        <x:v>200</x:v>
      </x:c>
      <x:c r="L83" s="76" t="n">
        <x:v>3</x:v>
      </x:c>
      <x:c r="M83" s="76" t="n">
        <x:v>0.48</x:v>
      </x:c>
      <x:c r="N83" t="str">
        <x:v>CVD divergence</x:v>
      </x:c>
      <x:c r="O83" t="str">
        <x:v>No HTF confirmation</x:v>
      </x:c>
    </x:row>
    <x:row r="84">
      <x:c r="A84" t="n">
        <x:v>80</x:v>
      </x:c>
      <x:c r="B84" s="72" t="n">
        <x:v>46052.083333333336</x:v>
      </x:c>
      <x:c r="C84" t="str">
        <x:v>BTCUSDT</x:v>
      </x:c>
      <x:c r="D84" t="str">
        <x:v>Bybit</x:v>
      </x:c>
      <x:c r="E84" t="str">
        <x:v>15m</x:v>
      </x:c>
      <x:c r="F84" t="str">
        <x:v>Long</x:v>
      </x:c>
      <x:c r="G84" s="74" t="n">
        <x:v>74877.787405</x:v>
      </x:c>
      <x:c r="H84" s="74" t="n">
        <x:v>72689.712818</x:v>
      </x:c>
      <x:c r="I84" s="74" t="n">
        <x:v>73821.578182</x:v>
      </x:c>
      <x:c r="J84" s="74" t="n">
        <x:v>78358.055659</x:v>
      </x:c>
      <x:c r="K84" s="76" t="n">
        <x:v>500</x:v>
      </x:c>
      <x:c r="L84" s="76" t="n">
        <x:v>2</x:v>
      </x:c>
      <x:c r="M84" s="76" t="n">
        <x:v>0.8</x:v>
      </x:c>
      <x:c r="N84" t="str">
        <x:v>CVD divergence</x:v>
      </x:c>
      <x:c r="O84" t="str">
        <x:v>Ignored funding</x:v>
      </x:c>
    </x:row>
    <x:row r="85">
      <x:c r="A85" t="n">
        <x:v>81</x:v>
      </x:c>
      <x:c r="B85" s="72" t="n">
        <x:v>46131.458333333336</x:v>
      </x:c>
      <x:c r="C85" t="str">
        <x:v>SOLUSDT</x:v>
      </x:c>
      <x:c r="D85" t="str">
        <x:v>OKX</x:v>
      </x:c>
      <x:c r="E85" t="str">
        <x:v>1h</x:v>
      </x:c>
      <x:c r="F85" t="str">
        <x:v>Long</x:v>
      </x:c>
      <x:c r="G85" s="74" t="n">
        <x:v>129.193664</x:v>
      </x:c>
      <x:c r="H85" s="74" t="n">
        <x:v>124.377251</x:v>
      </x:c>
      <x:c r="I85" s="74" t="n">
        <x:v>126.906513</x:v>
      </x:c>
      <x:c r="J85" s="74" t="n">
        <x:v>134.222921</x:v>
      </x:c>
      <x:c r="K85" s="76" t="n">
        <x:v>100</x:v>
      </x:c>
      <x:c r="L85" s="76" t="n">
        <x:v>2</x:v>
      </x:c>
      <x:c r="M85" s="76" t="n">
        <x:v>0.16</x:v>
      </x:c>
      <x:c r="N85" t="str">
        <x:v>VWAP reclaim</x:v>
      </x:c>
      <x:c r="O85" t="str">
        <x:v>None</x:v>
      </x:c>
    </x:row>
    <x:row r="86">
      <x:c r="A86" t="n">
        <x:v>82</x:v>
      </x:c>
      <x:c r="B86" s="72" t="n">
        <x:v>46168.541666666664</x:v>
      </x:c>
      <x:c r="C86" t="str">
        <x:v>BTCUSDT</x:v>
      </x:c>
      <x:c r="D86" t="str">
        <x:v>Bybit</x:v>
      </x:c>
      <x:c r="E86" t="str">
        <x:v>3m</x:v>
      </x:c>
      <x:c r="F86" t="str">
        <x:v>Long</x:v>
      </x:c>
      <x:c r="G86" s="74" t="n">
        <x:v>60846.054211</x:v>
      </x:c>
      <x:c r="H86" s="74" t="n">
        <x:v>60528.312196</x:v>
      </x:c>
      <x:c r="I86" s="74" t="n">
        <x:v>59648.058985</x:v>
      </x:c>
      <x:c r="J86" s="74" t="n">
        <x:v>62303.907093</x:v>
      </x:c>
      <x:c r="K86" s="76" t="n">
        <x:v>300</x:v>
      </x:c>
      <x:c r="L86" s="76" t="n">
        <x:v>5</x:v>
      </x:c>
      <x:c r="M86" s="76" t="n">
        <x:v>1.2</x:v>
      </x:c>
      <x:c r="N86" t="str">
        <x:v>VWAP reclaim</x:v>
      </x:c>
      <x:c r="O86" t="str">
        <x:v>Moved SL</x:v>
      </x:c>
    </x:row>
    <x:row r="87">
      <x:c r="A87" t="n">
        <x:v>83</x:v>
      </x:c>
      <x:c r="B87" s="72" t="n">
        <x:v>46149.625</x:v>
      </x:c>
      <x:c r="C87" t="str">
        <x:v>XRPUSDT</x:v>
      </x:c>
      <x:c r="D87" t="str">
        <x:v>Binance</x:v>
      </x:c>
      <x:c r="E87" t="str">
        <x:v>3m</x:v>
      </x:c>
      <x:c r="F87" t="str">
        <x:v>Long</x:v>
      </x:c>
      <x:c r="G87" s="74" t="n">
        <x:v>0.514373</x:v>
      </x:c>
      <x:c r="H87" s="74" t="n">
        <x:v>0.525517</x:v>
      </x:c>
      <x:c r="I87" s="74" t="n">
        <x:v>0.503738</x:v>
      </x:c>
      <x:c r="J87" s="74" t="n">
        <x:v>0.534474</x:v>
      </x:c>
      <x:c r="K87" s="76" t="n">
        <x:v>250</x:v>
      </x:c>
      <x:c r="L87" s="76" t="n">
        <x:v>5</x:v>
      </x:c>
      <x:c r="M87" s="76" t="n">
        <x:v>1</x:v>
      </x:c>
      <x:c r="N87" t="str">
        <x:v>OB retest</x:v>
      </x:c>
      <x:c r="O87" t="str">
        <x:v>No HTF confirmation</x:v>
      </x:c>
    </x:row>
    <x:row r="88">
      <x:c r="A88" t="n">
        <x:v>84</x:v>
      </x:c>
      <x:c r="B88" s="72" t="n">
        <x:v>46169.25</x:v>
      </x:c>
      <x:c r="C88" t="str">
        <x:v>BTCUSDT</x:v>
      </x:c>
      <x:c r="D88" t="str">
        <x:v>Bybit</x:v>
      </x:c>
      <x:c r="E88" t="str">
        <x:v>1h</x:v>
      </x:c>
      <x:c r="F88" t="str">
        <x:v>Short</x:v>
      </x:c>
      <x:c r="G88" s="74" t="n">
        <x:v>61689.400098</x:v>
      </x:c>
      <x:c r="H88" s="74" t="n">
        <x:v>62828.90493</x:v>
      </x:c>
      <x:c r="I88" s="74" t="n">
        <x:v>63019.627799</x:v>
      </x:c>
      <x:c r="J88" s="74" t="n">
        <x:v>59853.116971</x:v>
      </x:c>
      <x:c r="K88" s="76" t="n">
        <x:v>200</x:v>
      </x:c>
      <x:c r="L88" s="76" t="n">
        <x:v>2</x:v>
      </x:c>
      <x:c r="M88" s="76" t="n">
        <x:v>0.32</x:v>
      </x:c>
      <x:c r="N88" t="str">
        <x:v>CVD divergence</x:v>
      </x:c>
      <x:c r="O88" t="str">
        <x:v>Moved SL</x:v>
      </x:c>
    </x:row>
    <x:row r="89">
      <x:c r="A89" t="n">
        <x:v>85</x:v>
      </x:c>
      <x:c r="B89" s="72" t="n">
        <x:v>46054.833333333336</x:v>
      </x:c>
      <x:c r="C89" t="str">
        <x:v>SOLUSDT</x:v>
      </x:c>
      <x:c r="D89" t="str">
        <x:v>Binance</x:v>
      </x:c>
      <x:c r="E89" t="str">
        <x:v>3m</x:v>
      </x:c>
      <x:c r="F89" t="str">
        <x:v>Long</x:v>
      </x:c>
      <x:c r="G89" s="74" t="n">
        <x:v>156.088176</x:v>
      </x:c>
      <x:c r="H89" s="74" t="n">
        <x:v>153.349365</x:v>
      </x:c>
      <x:c r="I89" s="74" t="n">
        <x:v>154.755062</x:v>
      </x:c>
      <x:c r="J89" s="74" t="n">
        <x:v>163.963608</x:v>
      </x:c>
      <x:c r="K89" s="76" t="n">
        <x:v>300</x:v>
      </x:c>
      <x:c r="L89" s="76" t="n">
        <x:v>1</x:v>
      </x:c>
      <x:c r="M89" s="76" t="n">
        <x:v>0.24</x:v>
      </x:c>
      <x:c r="N89" t="str">
        <x:v>CVD divergence</x:v>
      </x:c>
      <x:c r="O89" t="str">
        <x:v>Oversized</x:v>
      </x:c>
    </x:row>
    <x:row r="90">
      <x:c r="A90" t="n">
        <x:v>86</x:v>
      </x:c>
      <x:c r="B90" s="72" t="n">
        <x:v>46113.375</x:v>
      </x:c>
      <x:c r="C90" t="str">
        <x:v>FARTCOINUSDT</x:v>
      </x:c>
      <x:c r="D90" t="str">
        <x:v>Bybit</x:v>
      </x:c>
      <x:c r="E90" t="str">
        <x:v>1h</x:v>
      </x:c>
      <x:c r="F90" t="str">
        <x:v>Short</x:v>
      </x:c>
      <x:c r="G90" s="74" t="n">
        <x:v>0.159641</x:v>
      </x:c>
      <x:c r="H90" s="74" t="n">
        <x:v>0.161876</x:v>
      </x:c>
      <x:c r="I90" s="74" t="n">
        <x:v>0.162724</x:v>
      </x:c>
      <x:c r="J90" s="74" t="n">
        <x:v>0.152172</x:v>
      </x:c>
      <x:c r="K90" s="76" t="n">
        <x:v>150</x:v>
      </x:c>
      <x:c r="L90" s="76" t="n">
        <x:v>5</x:v>
      </x:c>
      <x:c r="M90" s="76" t="n">
        <x:v>0.6</x:v>
      </x:c>
      <x:c r="N90" t="str">
        <x:v>OB retest</x:v>
      </x:c>
      <x:c r="O90" t="str">
        <x:v>No HTF confirmation</x:v>
      </x:c>
    </x:row>
    <x:row r="91">
      <x:c r="A91" t="n">
        <x:v>87</x:v>
      </x:c>
      <x:c r="B91" s="72" t="n">
        <x:v>46089.791666666664</x:v>
      </x:c>
      <x:c r="C91" t="str">
        <x:v>ETHUSDT</x:v>
      </x:c>
      <x:c r="D91" t="str">
        <x:v>Bybit</x:v>
      </x:c>
      <x:c r="E91" t="str">
        <x:v>5m</x:v>
      </x:c>
      <x:c r="F91" t="str">
        <x:v>Short</x:v>
      </x:c>
      <x:c r="G91" s="74" t="n">
        <x:v>3913.344556</x:v>
      </x:c>
      <x:c r="H91" s="74" t="n">
        <x:v>4049.596076</x:v>
      </x:c>
      <x:c r="I91" s="74" t="n">
        <x:v>3985.932071</x:v>
      </x:c>
      <x:c r="J91" s="74" t="n">
        <x:v>3787.575538</x:v>
      </x:c>
      <x:c r="K91" s="76" t="n">
        <x:v>750</x:v>
      </x:c>
      <x:c r="L91" s="76" t="n">
        <x:v>5</x:v>
      </x:c>
      <x:c r="M91" s="76" t="n">
        <x:v>3</x:v>
      </x:c>
      <x:c r="N91" t="str">
        <x:v>VWAP reclaim</x:v>
      </x:c>
      <x:c r="O91" t="str">
        <x:v>Oversized</x:v>
      </x:c>
    </x:row>
    <x:row r="92">
      <x:c r="A92" t="n">
        <x:v>88</x:v>
      </x:c>
      <x:c r="B92" s="72" t="n">
        <x:v>46133</x:v>
      </x:c>
      <x:c r="C92" t="str">
        <x:v>ETHUSDT</x:v>
      </x:c>
      <x:c r="D92" t="str">
        <x:v>OKX</x:v>
      </x:c>
      <x:c r="E92" t="str">
        <x:v>1h</x:v>
      </x:c>
      <x:c r="F92" t="str">
        <x:v>Short</x:v>
      </x:c>
      <x:c r="G92" s="74" t="n">
        <x:v>3422.159814</x:v>
      </x:c>
      <x:c r="H92" s="74" t="n">
        <x:v>3309.13714</x:v>
      </x:c>
      <x:c r="I92" s="74" t="n">
        <x:v>3503.80629</x:v>
      </x:c>
      <x:c r="J92" s="74" t="n">
        <x:v>3309.97192</x:v>
      </x:c>
      <x:c r="K92" s="76" t="n">
        <x:v>250</x:v>
      </x:c>
      <x:c r="L92" s="76" t="n">
        <x:v>2</x:v>
      </x:c>
      <x:c r="M92" s="76" t="n">
        <x:v>0.4</x:v>
      </x:c>
      <x:c r="N92" t="str">
        <x:v>Range deviation</x:v>
      </x:c>
      <x:c r="O92" t="str">
        <x:v>Late entry</x:v>
      </x:c>
    </x:row>
    <x:row r="93">
      <x:c r="A93" t="n">
        <x:v>89</x:v>
      </x:c>
      <x:c r="B93" s="72" t="n">
        <x:v>46160.458333333336</x:v>
      </x:c>
      <x:c r="C93" t="str">
        <x:v>BNBUSDT</x:v>
      </x:c>
      <x:c r="D93" t="str">
        <x:v>OKX</x:v>
      </x:c>
      <x:c r="E93" t="str">
        <x:v>3m</x:v>
      </x:c>
      <x:c r="F93" t="str">
        <x:v>Long</x:v>
      </x:c>
      <x:c r="G93" s="74" t="n">
        <x:v>577.546031</x:v>
      </x:c>
      <x:c r="H93" s="74" t="n">
        <x:v>581.065219</x:v>
      </x:c>
      <x:c r="I93" s="74" t="n">
        <x:v>563.929129</x:v>
      </x:c>
      <x:c r="J93" s="74" t="n">
        <x:v>602.379422</x:v>
      </x:c>
      <x:c r="K93" s="76" t="n">
        <x:v>1000</x:v>
      </x:c>
      <x:c r="L93" s="76" t="n">
        <x:v>1</x:v>
      </x:c>
      <x:c r="M93" s="76" t="n">
        <x:v>0.8</x:v>
      </x:c>
      <x:c r="N93" t="str">
        <x:v>CVD divergence</x:v>
      </x:c>
      <x:c r="O93" t="str">
        <x:v>No HTF confirmation</x:v>
      </x:c>
    </x:row>
    <x:row r="94">
      <x:c r="A94" t="n">
        <x:v>90</x:v>
      </x:c>
      <x:c r="B94" s="72" t="n">
        <x:v>46162.5</x:v>
      </x:c>
      <x:c r="C94" t="str">
        <x:v>BTCUSDT</x:v>
      </x:c>
      <x:c r="D94" t="str">
        <x:v>OKX</x:v>
      </x:c>
      <x:c r="E94" t="str">
        <x:v>15m</x:v>
      </x:c>
      <x:c r="F94" t="str">
        <x:v>Long</x:v>
      </x:c>
      <x:c r="G94" s="74" t="n">
        <x:v>63852.530174</x:v>
      </x:c>
      <x:c r="H94" s="74" t="n">
        <x:v>64183.54486</x:v>
      </x:c>
      <x:c r="I94" s="74" t="n">
        <x:v>62722.008591</x:v>
      </x:c>
      <x:c r="J94" s="74" t="n">
        <x:v>66131.204071</x:v>
      </x:c>
      <x:c r="K94" s="76" t="n">
        <x:v>750</x:v>
      </x:c>
      <x:c r="L94" s="76" t="n">
        <x:v>5</x:v>
      </x:c>
      <x:c r="M94" s="76" t="n">
        <x:v>3</x:v>
      </x:c>
      <x:c r="N94" t="str">
        <x:v>VWAP reclaim</x:v>
      </x:c>
      <x:c r="O94" t="str">
        <x:v>No HTF confirmation</x:v>
      </x:c>
    </x:row>
    <x:row r="95">
      <x:c r="A95" t="n">
        <x:v>91</x:v>
      </x:c>
      <x:c r="B95" s="72" t="n">
        <x:v>46108.083333333336</x:v>
      </x:c>
      <x:c r="C95" t="str">
        <x:v>SOLUSDT</x:v>
      </x:c>
      <x:c r="D95" t="str">
        <x:v>Bybit</x:v>
      </x:c>
      <x:c r="E95" t="str">
        <x:v>15m</x:v>
      </x:c>
      <x:c r="F95" t="str">
        <x:v>Short</x:v>
      </x:c>
      <x:c r="G95" s="74" t="n">
        <x:v>141.721847</x:v>
      </x:c>
      <x:c r="H95" s="74" t="n">
        <x:v>140.445325</x:v>
      </x:c>
      <x:c r="I95" s="74" t="n">
        <x:v>144.355345</x:v>
      </x:c>
      <x:c r="J95" s="74" t="n">
        <x:v>135.198603</x:v>
      </x:c>
      <x:c r="K95" s="76" t="n">
        <x:v>100</x:v>
      </x:c>
      <x:c r="L95" s="76" t="n">
        <x:v>2</x:v>
      </x:c>
      <x:c r="M95" s="76" t="n">
        <x:v>0.16</x:v>
      </x:c>
      <x:c r="N95" t="str">
        <x:v>Range deviation</x:v>
      </x:c>
      <x:c r="O95" t="str">
        <x:v>Late entry</x:v>
      </x:c>
    </x:row>
    <x:row r="96">
      <x:c r="A96" t="n">
        <x:v>92</x:v>
      </x:c>
      <x:c r="B96" s="72" t="n">
        <x:v>46062.25</x:v>
      </x:c>
      <x:c r="C96" t="str">
        <x:v>XRPUSDT</x:v>
      </x:c>
      <x:c r="D96" t="str">
        <x:v>OKX</x:v>
      </x:c>
      <x:c r="E96" t="str">
        <x:v>15m</x:v>
      </x:c>
      <x:c r="F96" t="str">
        <x:v>Long</x:v>
      </x:c>
      <x:c r="G96" s="74" t="n">
        <x:v>0.507932</x:v>
      </x:c>
      <x:c r="H96" s="74" t="n">
        <x:v>0.521479</x:v>
      </x:c>
      <x:c r="I96" s="74" t="n">
        <x:v>0.50175</x:v>
      </x:c>
      <x:c r="J96" s="74" t="n">
        <x:v>0.530895</x:v>
      </x:c>
      <x:c r="K96" s="76" t="n">
        <x:v>300</x:v>
      </x:c>
      <x:c r="L96" s="76" t="n">
        <x:v>2</x:v>
      </x:c>
      <x:c r="M96" s="76" t="n">
        <x:v>0.48</x:v>
      </x:c>
      <x:c r="N96" t="str">
        <x:v>CVD divergence</x:v>
      </x:c>
      <x:c r="O96" t="str">
        <x:v>Moved SL</x:v>
      </x:c>
    </x:row>
    <x:row r="97">
      <x:c r="A97" t="n">
        <x:v>93</x:v>
      </x:c>
      <x:c r="B97" s="72" t="n">
        <x:v>46041.625</x:v>
      </x:c>
      <x:c r="C97" t="str">
        <x:v>BNBUSDT</x:v>
      </x:c>
      <x:c r="D97" t="str">
        <x:v>Binance</x:v>
      </x:c>
      <x:c r="E97" t="str">
        <x:v>5m</x:v>
      </x:c>
      <x:c r="F97" t="str">
        <x:v>Long</x:v>
      </x:c>
      <x:c r="G97" s="74" t="n">
        <x:v>614.644344</x:v>
      </x:c>
      <x:c r="H97" s="74" t="n">
        <x:v>624.432009</x:v>
      </x:c>
      <x:c r="I97" s="74" t="n">
        <x:v>602.980278</x:v>
      </x:c>
      <x:c r="J97" s="74" t="n">
        <x:v>638.854832</x:v>
      </x:c>
      <x:c r="K97" s="76" t="n">
        <x:v>250</x:v>
      </x:c>
      <x:c r="L97" s="76" t="n">
        <x:v>3</x:v>
      </x:c>
      <x:c r="M97" s="76" t="n">
        <x:v>0.6</x:v>
      </x:c>
      <x:c r="N97" t="str">
        <x:v>VWAP reclaim</x:v>
      </x:c>
      <x:c r="O97" t="str">
        <x:v>None</x:v>
      </x:c>
    </x:row>
    <x:row r="98">
      <x:c r="A98" t="n">
        <x:v>94</x:v>
      </x:c>
      <x:c r="B98" s="72" t="n">
        <x:v>46042.708333333336</x:v>
      </x:c>
      <x:c r="C98" t="str">
        <x:v>ADAUSDT</x:v>
      </x:c>
      <x:c r="D98" t="str">
        <x:v>OKX</x:v>
      </x:c>
      <x:c r="E98" t="str">
        <x:v>3m</x:v>
      </x:c>
      <x:c r="F98" t="str">
        <x:v>Short</x:v>
      </x:c>
      <x:c r="G98" s="74" t="n">
        <x:v>0.518712</x:v>
      </x:c>
      <x:c r="H98" s="74" t="n">
        <x:v>0.504258</x:v>
      </x:c>
      <x:c r="I98" s="74" t="n">
        <x:v>0.529625</x:v>
      </x:c>
      <x:c r="J98" s="74" t="n">
        <x:v>0.493293</x:v>
      </x:c>
      <x:c r="K98" s="76" t="n">
        <x:v>250</x:v>
      </x:c>
      <x:c r="L98" s="76" t="n">
        <x:v>3</x:v>
      </x:c>
      <x:c r="M98" s="76" t="n">
        <x:v>0.6</x:v>
      </x:c>
      <x:c r="N98" t="str">
        <x:v>Liquidity sweep</x:v>
      </x:c>
      <x:c r="O98" t="str">
        <x:v>None</x:v>
      </x:c>
    </x:row>
    <x:row r="99">
      <x:c r="A99" t="n">
        <x:v>95</x:v>
      </x:c>
      <x:c r="B99" s="72" t="n">
        <x:v>46051.041666666664</x:v>
      </x:c>
      <x:c r="C99" t="str">
        <x:v>ADAUSDT</x:v>
      </x:c>
      <x:c r="D99" t="str">
        <x:v>Bybit</x:v>
      </x:c>
      <x:c r="E99" t="str">
        <x:v>1h</x:v>
      </x:c>
      <x:c r="F99" t="str">
        <x:v>Long</x:v>
      </x:c>
      <x:c r="G99" s="74" t="n">
        <x:v>0.409617</x:v>
      </x:c>
      <x:c r="H99" s="74" t="n">
        <x:v>0.399821</x:v>
      </x:c>
      <x:c r="I99" s="74" t="n">
        <x:v>0.405179</x:v>
      </x:c>
      <x:c r="J99" s="74" t="n">
        <x:v>0.41789</x:v>
      </x:c>
      <x:c r="K99" s="76" t="n">
        <x:v>500</x:v>
      </x:c>
      <x:c r="L99" s="76" t="n">
        <x:v>1</x:v>
      </x:c>
      <x:c r="M99" s="76" t="n">
        <x:v>0.4</x:v>
      </x:c>
      <x:c r="N99" t="str">
        <x:v>VWAP reclaim</x:v>
      </x:c>
      <x:c r="O99" t="str">
        <x:v>Ignored funding</x:v>
      </x:c>
    </x:row>
    <x:row r="100">
      <x:c r="A100" t="n">
        <x:v>96</x:v>
      </x:c>
      <x:c r="B100" s="72" t="n">
        <x:v>46163.125</x:v>
      </x:c>
      <x:c r="C100" t="str">
        <x:v>WLFIUSDT</x:v>
      </x:c>
      <x:c r="D100" t="str">
        <x:v>OKX</x:v>
      </x:c>
      <x:c r="E100" t="str">
        <x:v>15m</x:v>
      </x:c>
      <x:c r="F100" t="str">
        <x:v>Long</x:v>
      </x:c>
      <x:c r="G100" s="74" t="n">
        <x:v>0.06271</x:v>
      </x:c>
      <x:c r="H100" s="74" t="n">
        <x:v>0.06191</x:v>
      </x:c>
      <x:c r="I100" s="74" t="n">
        <x:v>0.061503</x:v>
      </x:c>
      <x:c r="J100" s="74" t="n">
        <x:v>0.063784</x:v>
      </x:c>
      <x:c r="K100" s="76" t="n">
        <x:v>1000</x:v>
      </x:c>
      <x:c r="L100" s="76" t="n">
        <x:v>2</x:v>
      </x:c>
      <x:c r="M100" s="76" t="n">
        <x:v>1.6</x:v>
      </x:c>
      <x:c r="N100" t="str">
        <x:v>VWAP reclaim</x:v>
      </x:c>
      <x:c r="O100" t="str">
        <x:v>Late entry</x:v>
      </x:c>
    </x:row>
    <x:row r="101">
      <x:c r="A101" t="n">
        <x:v>97</x:v>
      </x:c>
      <x:c r="B101" s="72" t="n">
        <x:v>46130.458333333336</x:v>
      </x:c>
      <x:c r="C101" t="str">
        <x:v>SOLUSDT</x:v>
      </x:c>
      <x:c r="D101" t="str">
        <x:v>OKX</x:v>
      </x:c>
      <x:c r="E101" t="str">
        <x:v>5m</x:v>
      </x:c>
      <x:c r="F101" t="str">
        <x:v>Short</x:v>
      </x:c>
      <x:c r="G101" s="74" t="n">
        <x:v>152.985505</x:v>
      </x:c>
      <x:c r="H101" s="74" t="n">
        <x:v>153.013885</x:v>
      </x:c>
      <x:c r="I101" s="74" t="n">
        <x:v>155.105276</x:v>
      </x:c>
      <x:c r="J101" s="74" t="n">
        <x:v>144.74279</x:v>
      </x:c>
      <x:c r="K101" s="76" t="n">
        <x:v>150</x:v>
      </x:c>
      <x:c r="L101" s="76" t="n">
        <x:v>1</x:v>
      </x:c>
      <x:c r="M101" s="76" t="n">
        <x:v>0.12</x:v>
      </x:c>
      <x:c r="N101" t="str">
        <x:v>CVD divergence</x:v>
      </x:c>
      <x:c r="O101" t="str">
        <x:v>Ignored funding</x:v>
      </x:c>
    </x:row>
    <x:row r="102">
      <x:c r="A102" t="n">
        <x:v>98</x:v>
      </x:c>
      <x:c r="B102" s="72" t="n">
        <x:v>46107.958333333336</x:v>
      </x:c>
      <x:c r="C102" t="str">
        <x:v>BTCUSDT</x:v>
      </x:c>
      <x:c r="D102" t="str">
        <x:v>Binance</x:v>
      </x:c>
      <x:c r="E102" t="str">
        <x:v>15m</x:v>
      </x:c>
      <x:c r="F102" t="str">
        <x:v>Short</x:v>
      </x:c>
      <x:c r="G102" s="74" t="n">
        <x:v>74424.558654</x:v>
      </x:c>
      <x:c r="H102" s="74" t="n">
        <x:v>75088.777812</x:v>
      </x:c>
      <x:c r="I102" s="74" t="n">
        <x:v>75025.272967</x:v>
      </x:c>
      <x:c r="J102" s="74" t="n">
        <x:v>73269.25156</x:v>
      </x:c>
      <x:c r="K102" s="76" t="n">
        <x:v>100</x:v>
      </x:c>
      <x:c r="L102" s="76" t="n">
        <x:v>1</x:v>
      </x:c>
      <x:c r="M102" s="76" t="n">
        <x:v>0.08</x:v>
      </x:c>
      <x:c r="N102" t="str">
        <x:v>Range deviation</x:v>
      </x:c>
      <x:c r="O102" t="str">
        <x:v>No HTF confirmation</x:v>
      </x:c>
    </x:row>
    <x:row r="103">
      <x:c r="A103" t="n">
        <x:v>99</x:v>
      </x:c>
      <x:c r="B103" s="72" t="n">
        <x:v>46138.916666666664</x:v>
      </x:c>
      <x:c r="C103" t="str">
        <x:v>ETHUSDT</x:v>
      </x:c>
      <x:c r="D103" t="str">
        <x:v>Binance</x:v>
      </x:c>
      <x:c r="E103" t="str">
        <x:v>5m</x:v>
      </x:c>
      <x:c r="F103" t="str">
        <x:v>Short</x:v>
      </x:c>
      <x:c r="G103" s="74" t="n">
        <x:v>3410.20908</x:v>
      </x:c>
      <x:c r="H103" s="74" t="n">
        <x:v>3647.674245</x:v>
      </x:c>
      <x:c r="I103" s="74" t="n">
        <x:v>3453.824553</x:v>
      </x:c>
      <x:c r="J103" s="74" t="n">
        <x:v>3316.994102</x:v>
      </x:c>
      <x:c r="K103" s="76" t="n">
        <x:v>250</x:v>
      </x:c>
      <x:c r="L103" s="76" t="n">
        <x:v>2</x:v>
      </x:c>
      <x:c r="M103" s="76" t="n">
        <x:v>0.4</x:v>
      </x:c>
      <x:c r="N103" t="str">
        <x:v>Liquidity sweep</x:v>
      </x:c>
      <x:c r="O103" t="str">
        <x:v>No HTF confirmation</x:v>
      </x:c>
    </x:row>
    <x:row r="104">
      <x:c r="A104" t="n">
        <x:v>100</x:v>
      </x:c>
      <x:c r="B104" s="72" t="n">
        <x:v>46105.833333333336</x:v>
      </x:c>
      <x:c r="C104" t="str">
        <x:v>BNBUSDT</x:v>
      </x:c>
      <x:c r="D104" t="str">
        <x:v>Bybit</x:v>
      </x:c>
      <x:c r="E104" t="str">
        <x:v>5m</x:v>
      </x:c>
      <x:c r="F104" t="str">
        <x:v>Long</x:v>
      </x:c>
      <x:c r="G104" s="74" t="n">
        <x:v>524.907247</x:v>
      </x:c>
      <x:c r="H104" s="74" t="n">
        <x:v>530.637744</x:v>
      </x:c>
      <x:c r="I104" s="74" t="n">
        <x:v>517.615115</x:v>
      </x:c>
      <x:c r="J104" s="74" t="n">
        <x:v>538.467944</x:v>
      </x:c>
      <x:c r="K104" s="76" t="n">
        <x:v>1000</x:v>
      </x:c>
      <x:c r="L104" s="76" t="n">
        <x:v>10</x:v>
      </x:c>
      <x:c r="M104" s="76" t="n">
        <x:v>8</x:v>
      </x:c>
      <x:c r="N104" t="str">
        <x:v>VWAP reclaim</x:v>
      </x:c>
      <x:c r="O104" t="str">
        <x:v>Oversized</x:v>
      </x:c>
    </x:row>
    <x:row r="105">
      <x:c r="A105" t="n">
        <x:v>101</x:v>
      </x:c>
      <x:c r="B105" s="72" t="n">
        <x:v>46054.416666666664</x:v>
      </x:c>
      <x:c r="C105" t="str">
        <x:v>WLFIUSDT</x:v>
      </x:c>
      <x:c r="D105" t="str">
        <x:v>OKX</x:v>
      </x:c>
      <x:c r="E105" t="str">
        <x:v>3m</x:v>
      </x:c>
      <x:c r="F105" t="str">
        <x:v>Short</x:v>
      </x:c>
      <x:c r="G105" s="74" t="n">
        <x:v>0.066081</x:v>
      </x:c>
      <x:c r="H105" s="74" t="n">
        <x:v>0.064971</x:v>
      </x:c>
      <x:c r="I105" s="74" t="n">
        <x:v>0.067087</x:v>
      </x:c>
      <x:c r="J105" s="74" t="n">
        <x:v>0.06272</x:v>
      </x:c>
      <x:c r="K105" s="76" t="n">
        <x:v>300</x:v>
      </x:c>
      <x:c r="L105" s="76" t="n">
        <x:v>5</x:v>
      </x:c>
      <x:c r="M105" s="76" t="n">
        <x:v>1.2</x:v>
      </x:c>
      <x:c r="N105" t="str">
        <x:v>CVD divergence</x:v>
      </x:c>
      <x:c r="O105" t="str">
        <x:v>None</x:v>
      </x:c>
    </x:row>
    <x:row r="106">
      <x:c r="A106" t="n">
        <x:v>102</x:v>
      </x:c>
      <x:c r="B106" s="72" t="n">
        <x:v>46047.916666666664</x:v>
      </x:c>
      <x:c r="C106" t="str">
        <x:v>BNBUSDT</x:v>
      </x:c>
      <x:c r="D106" t="str">
        <x:v>OKX</x:v>
      </x:c>
      <x:c r="E106" t="str">
        <x:v>15m</x:v>
      </x:c>
      <x:c r="F106" t="str">
        <x:v>Short</x:v>
      </x:c>
      <x:c r="G106" s="74" t="n">
        <x:v>556.71477</x:v>
      </x:c>
      <x:c r="H106" s="74" t="n">
        <x:v>563.363213</x:v>
      </x:c>
      <x:c r="I106" s="74" t="n">
        <x:v>568.747581</x:v>
      </x:c>
      <x:c r="J106" s="74" t="n">
        <x:v>538.832239</x:v>
      </x:c>
      <x:c r="K106" s="76" t="n">
        <x:v>150</x:v>
      </x:c>
      <x:c r="L106" s="76" t="n">
        <x:v>3</x:v>
      </x:c>
      <x:c r="M106" s="76" t="n">
        <x:v>0.36</x:v>
      </x:c>
      <x:c r="N106" t="str">
        <x:v>VWAP reclaim</x:v>
      </x:c>
      <x:c r="O106" t="str">
        <x:v>Oversized</x:v>
      </x:c>
    </x:row>
    <x:row r="107">
      <x:c r="A107" t="n">
        <x:v>103</x:v>
      </x:c>
      <x:c r="B107" s="72" t="n">
        <x:v>46171.75</x:v>
      </x:c>
      <x:c r="C107" t="str">
        <x:v>WLFIUSDT</x:v>
      </x:c>
      <x:c r="D107" t="str">
        <x:v>Binance</x:v>
      </x:c>
      <x:c r="E107" t="str">
        <x:v>3m</x:v>
      </x:c>
      <x:c r="F107" t="str">
        <x:v>Short</x:v>
      </x:c>
      <x:c r="G107" s="74" t="n">
        <x:v>0.065852</x:v>
      </x:c>
      <x:c r="H107" s="74" t="n">
        <x:v>0.067936</x:v>
      </x:c>
      <x:c r="I107" s="74" t="n">
        <x:v>0.066829</x:v>
      </x:c>
      <x:c r="J107" s="74" t="n">
        <x:v>0.062349</x:v>
      </x:c>
      <x:c r="K107" s="76" t="n">
        <x:v>500</x:v>
      </x:c>
      <x:c r="L107" s="76" t="n">
        <x:v>1</x:v>
      </x:c>
      <x:c r="M107" s="76" t="n">
        <x:v>0.4</x:v>
      </x:c>
      <x:c r="N107" t="str">
        <x:v>OB retest</x:v>
      </x:c>
      <x:c r="O107" t="str">
        <x:v>No HTF confirmation</x:v>
      </x:c>
    </x:row>
    <x:row r="108">
      <x:c r="A108" t="n">
        <x:v>104</x:v>
      </x:c>
      <x:c r="B108" s="72" t="n">
        <x:v>46032.75</x:v>
      </x:c>
      <x:c r="C108" t="str">
        <x:v>FARTCOINUSDT</x:v>
      </x:c>
      <x:c r="D108" t="str">
        <x:v>OKX</x:v>
      </x:c>
      <x:c r="E108" t="str">
        <x:v>3m</x:v>
      </x:c>
      <x:c r="F108" t="str">
        <x:v>Long</x:v>
      </x:c>
      <x:c r="G108" s="74" t="n">
        <x:v>0.146667</x:v>
      </x:c>
      <x:c r="H108" s="74" t="n">
        <x:v>0.144022</x:v>
      </x:c>
      <x:c r="I108" s="74" t="n">
        <x:v>0.143269</x:v>
      </x:c>
      <x:c r="J108" s="74" t="n">
        <x:v>0.149995</x:v>
      </x:c>
      <x:c r="K108" s="76" t="n">
        <x:v>100</x:v>
      </x:c>
      <x:c r="L108" s="76" t="n">
        <x:v>1</x:v>
      </x:c>
      <x:c r="M108" s="76" t="n">
        <x:v>0.08</x:v>
      </x:c>
      <x:c r="N108" t="str">
        <x:v>OB retest</x:v>
      </x:c>
      <x:c r="O108" t="str">
        <x:v>Late entry</x:v>
      </x:c>
    </x:row>
    <x:row r="109">
      <x:c r="A109" t="n">
        <x:v>105</x:v>
      </x:c>
      <x:c r="B109" s="72" t="n">
        <x:v>46166.25</x:v>
      </x:c>
      <x:c r="C109" t="str">
        <x:v>SOLUSDT</x:v>
      </x:c>
      <x:c r="D109" t="str">
        <x:v>OKX</x:v>
      </x:c>
      <x:c r="E109" t="str">
        <x:v>5m</x:v>
      </x:c>
      <x:c r="F109" t="str">
        <x:v>Long</x:v>
      </x:c>
      <x:c r="G109" s="74" t="n">
        <x:v>124.506253</x:v>
      </x:c>
      <x:c r="H109" s="74" t="n">
        <x:v>125.118503</x:v>
      </x:c>
      <x:c r="I109" s="74" t="n">
        <x:v>121.773155</x:v>
      </x:c>
      <x:c r="J109" s="74" t="n">
        <x:v>129.674491</x:v>
      </x:c>
      <x:c r="K109" s="76" t="n">
        <x:v>300</x:v>
      </x:c>
      <x:c r="L109" s="76" t="n">
        <x:v>2</x:v>
      </x:c>
      <x:c r="M109" s="76" t="n">
        <x:v>0.48</x:v>
      </x:c>
      <x:c r="N109" t="str">
        <x:v>CVD divergence</x:v>
      </x:c>
      <x:c r="O109" t="str">
        <x:v>Oversized</x:v>
      </x:c>
    </x:row>
    <x:row r="110">
      <x:c r="A110" t="n">
        <x:v>106</x:v>
      </x:c>
      <x:c r="B110" s="72" t="n">
        <x:v>46092.416666666664</x:v>
      </x:c>
      <x:c r="C110" t="str">
        <x:v>BTCUSDT</x:v>
      </x:c>
      <x:c r="D110" t="str">
        <x:v>Binance</x:v>
      </x:c>
      <x:c r="E110" t="str">
        <x:v>15m</x:v>
      </x:c>
      <x:c r="F110" t="str">
        <x:v>Short</x:v>
      </x:c>
      <x:c r="G110" s="74" t="n">
        <x:v>59788.768502</x:v>
      </x:c>
      <x:c r="H110" s="74" t="n">
        <x:v>59436.373433</x:v>
      </x:c>
      <x:c r="I110" s="74" t="n">
        <x:v>60809.771146</x:v>
      </x:c>
      <x:c r="J110" s="74" t="n">
        <x:v>57292.584428</x:v>
      </x:c>
      <x:c r="K110" s="76" t="n">
        <x:v>100</x:v>
      </x:c>
      <x:c r="L110" s="76" t="n">
        <x:v>5</x:v>
      </x:c>
      <x:c r="M110" s="76" t="n">
        <x:v>0.4</x:v>
      </x:c>
      <x:c r="N110" t="str">
        <x:v>OB retest</x:v>
      </x:c>
      <x:c r="O110" t="str">
        <x:v>No HTF confirmation</x:v>
      </x:c>
    </x:row>
    <x:row r="111">
      <x:c r="A111" t="n">
        <x:v>107</x:v>
      </x:c>
      <x:c r="B111" s="72" t="n">
        <x:v>46053.916666666664</x:v>
      </x:c>
      <x:c r="C111" t="str">
        <x:v>ADAUSDT</x:v>
      </x:c>
      <x:c r="D111" t="str">
        <x:v>Binance</x:v>
      </x:c>
      <x:c r="E111" t="str">
        <x:v>15m</x:v>
      </x:c>
      <x:c r="F111" t="str">
        <x:v>Short</x:v>
      </x:c>
      <x:c r="G111" s="74" t="n">
        <x:v>0.428599</x:v>
      </x:c>
      <x:c r="H111" s="74" t="n">
        <x:v>0.446851</x:v>
      </x:c>
      <x:c r="I111" s="74" t="n">
        <x:v>0.434995</x:v>
      </x:c>
      <x:c r="J111" s="74" t="n">
        <x:v>0.405433</x:v>
      </x:c>
      <x:c r="K111" s="76" t="n">
        <x:v>1000</x:v>
      </x:c>
      <x:c r="L111" s="76" t="n">
        <x:v>10</x:v>
      </x:c>
      <x:c r="M111" s="76" t="n">
        <x:v>8</x:v>
      </x:c>
      <x:c r="N111" t="str">
        <x:v>Trend continuation</x:v>
      </x:c>
      <x:c r="O111" t="str">
        <x:v>Oversized</x:v>
      </x:c>
    </x:row>
    <x:row r="112">
      <x:c r="A112" t="n">
        <x:v>108</x:v>
      </x:c>
      <x:c r="B112" s="72" t="n">
        <x:v>46100.916666666664</x:v>
      </x:c>
      <x:c r="C112" t="str">
        <x:v>BNBUSDT</x:v>
      </x:c>
      <x:c r="D112" t="str">
        <x:v>Bybit</x:v>
      </x:c>
      <x:c r="E112" t="str">
        <x:v>3m</x:v>
      </x:c>
      <x:c r="F112" t="str">
        <x:v>Long</x:v>
      </x:c>
      <x:c r="G112" s="74" t="n">
        <x:v>660.213123</x:v>
      </x:c>
      <x:c r="H112" s="74" t="n">
        <x:v>644.005911</x:v>
      </x:c>
      <x:c r="I112" s="74" t="n">
        <x:v>652.724782</x:v>
      </x:c>
      <x:c r="J112" s="74" t="n">
        <x:v>674.603987</x:v>
      </x:c>
      <x:c r="K112" s="76" t="n">
        <x:v>750</x:v>
      </x:c>
      <x:c r="L112" s="76" t="n">
        <x:v>3</x:v>
      </x:c>
      <x:c r="M112" s="76" t="n">
        <x:v>1.8</x:v>
      </x:c>
      <x:c r="N112" t="str">
        <x:v>Range deviation</x:v>
      </x:c>
      <x:c r="O112" t="str">
        <x:v>Oversized</x:v>
      </x:c>
    </x:row>
    <x:row r="113">
      <x:c r="A113" t="n">
        <x:v>109</x:v>
      </x:c>
      <x:c r="B113" s="72" t="n">
        <x:v>46059.416666666664</x:v>
      </x:c>
      <x:c r="C113" t="str">
        <x:v>BTCUSDT</x:v>
      </x:c>
      <x:c r="D113" t="str">
        <x:v>Binance</x:v>
      </x:c>
      <x:c r="E113" t="str">
        <x:v>3m</x:v>
      </x:c>
      <x:c r="F113" t="str">
        <x:v>Short</x:v>
      </x:c>
      <x:c r="G113" s="74" t="n">
        <x:v>76485.547732</x:v>
      </x:c>
      <x:c r="H113" s="74" t="n">
        <x:v>76859.490228</x:v>
      </x:c>
      <x:c r="I113" s="74" t="n">
        <x:v>77436.155541</x:v>
      </x:c>
      <x:c r="J113" s="74" t="n">
        <x:v>74148.349307</x:v>
      </x:c>
      <x:c r="K113" s="76" t="n">
        <x:v>100</x:v>
      </x:c>
      <x:c r="L113" s="76" t="n">
        <x:v>2</x:v>
      </x:c>
      <x:c r="M113" s="76" t="n">
        <x:v>0.16</x:v>
      </x:c>
      <x:c r="N113" t="str">
        <x:v>VWAP reclaim</x:v>
      </x:c>
      <x:c r="O113" t="str">
        <x:v>Late entry</x:v>
      </x:c>
    </x:row>
    <x:row r="114">
      <x:c r="A114" t="n">
        <x:v>110</x:v>
      </x:c>
      <x:c r="B114" s="72" t="n">
        <x:v>46025.375</x:v>
      </x:c>
      <x:c r="C114" t="str">
        <x:v>BNBUSDT</x:v>
      </x:c>
      <x:c r="D114" t="str">
        <x:v>OKX</x:v>
      </x:c>
      <x:c r="E114" t="str">
        <x:v>15m</x:v>
      </x:c>
      <x:c r="F114" t="str">
        <x:v>Long</x:v>
      </x:c>
      <x:c r="G114" s="74" t="n">
        <x:v>568.837097</x:v>
      </x:c>
      <x:c r="H114" s="74" t="n">
        <x:v>542.707117</x:v>
      </x:c>
      <x:c r="I114" s="74" t="n">
        <x:v>554.920553</x:v>
      </x:c>
      <x:c r="J114" s="74" t="n">
        <x:v>598.133765</x:v>
      </x:c>
      <x:c r="K114" s="76" t="n">
        <x:v>200</x:v>
      </x:c>
      <x:c r="L114" s="76" t="n">
        <x:v>2</x:v>
      </x:c>
      <x:c r="M114" s="76" t="n">
        <x:v>0.32</x:v>
      </x:c>
      <x:c r="N114" t="str">
        <x:v>Trend continuation</x:v>
      </x:c>
      <x:c r="O114" t="str">
        <x:v>Ignored funding</x:v>
      </x:c>
    </x:row>
    <x:row r="115">
      <x:c r="A115" t="n">
        <x:v>111</x:v>
      </x:c>
      <x:c r="B115" s="72" t="n">
        <x:v>46025.916666666664</x:v>
      </x:c>
      <x:c r="C115" t="str">
        <x:v>ETHUSDT</x:v>
      </x:c>
      <x:c r="D115" t="str">
        <x:v>Bybit</x:v>
      </x:c>
      <x:c r="E115" t="str">
        <x:v>1h</x:v>
      </x:c>
      <x:c r="F115" t="str">
        <x:v>Long</x:v>
      </x:c>
      <x:c r="G115" s="74" t="n">
        <x:v>2998.850149</x:v>
      </x:c>
      <x:c r="H115" s="74" t="n">
        <x:v>2843.944366</x:v>
      </x:c>
      <x:c r="I115" s="74" t="n">
        <x:v>2970.741722</x:v>
      </x:c>
      <x:c r="J115" s="74" t="n">
        <x:v>3055.774645</x:v>
      </x:c>
      <x:c r="K115" s="76" t="n">
        <x:v>200</x:v>
      </x:c>
      <x:c r="L115" s="76" t="n">
        <x:v>2</x:v>
      </x:c>
      <x:c r="M115" s="76" t="n">
        <x:v>0.32</x:v>
      </x:c>
      <x:c r="N115" t="str">
        <x:v>OB retest</x:v>
      </x:c>
      <x:c r="O115" t="str">
        <x:v>Ignored funding</x:v>
      </x:c>
    </x:row>
    <x:row r="116">
      <x:c r="A116" t="n">
        <x:v>112</x:v>
      </x:c>
      <x:c r="B116" s="72" t="n">
        <x:v>46121.333333333336</x:v>
      </x:c>
      <x:c r="C116" t="str">
        <x:v>FARTCOINUSDT</x:v>
      </x:c>
      <x:c r="D116" t="str">
        <x:v>Bybit</x:v>
      </x:c>
      <x:c r="E116" t="str">
        <x:v>1h</x:v>
      </x:c>
      <x:c r="F116" t="str">
        <x:v>Short</x:v>
      </x:c>
      <x:c r="G116" s="74" t="n">
        <x:v>0.13756</x:v>
      </x:c>
      <x:c r="H116" s="74" t="n">
        <x:v>0.138949</x:v>
      </x:c>
      <x:c r="I116" s="74" t="n">
        <x:v>0.140403</x:v>
      </x:c>
      <x:c r="J116" s="74" t="n">
        <x:v>0.130202</x:v>
      </x:c>
      <x:c r="K116" s="76" t="n">
        <x:v>150</x:v>
      </x:c>
      <x:c r="L116" s="76" t="n">
        <x:v>1</x:v>
      </x:c>
      <x:c r="M116" s="76" t="n">
        <x:v>0.12</x:v>
      </x:c>
      <x:c r="N116" t="str">
        <x:v>Liquidity sweep</x:v>
      </x:c>
      <x:c r="O116" t="str">
        <x:v>Late entry</x:v>
      </x:c>
    </x:row>
    <x:row r="117">
      <x:c r="A117" t="n">
        <x:v>113</x:v>
      </x:c>
      <x:c r="B117" s="72" t="n">
        <x:v>46051.333333333336</x:v>
      </x:c>
      <x:c r="C117" t="str">
        <x:v>FARTCOINUSDT</x:v>
      </x:c>
      <x:c r="D117" t="str">
        <x:v>Binance</x:v>
      </x:c>
      <x:c r="E117" t="str">
        <x:v>3m</x:v>
      </x:c>
      <x:c r="F117" t="str">
        <x:v>Short</x:v>
      </x:c>
      <x:c r="G117" s="74" t="n">
        <x:v>0.176054</x:v>
      </x:c>
      <x:c r="H117" s="74" t="n">
        <x:v>0.177971</x:v>
      </x:c>
      <x:c r="I117" s="74" t="n">
        <x:v>0.177868</x:v>
      </x:c>
      <x:c r="J117" s="74" t="n">
        <x:v>0.172452</x:v>
      </x:c>
      <x:c r="K117" s="76" t="n">
        <x:v>200</x:v>
      </x:c>
      <x:c r="L117" s="76" t="n">
        <x:v>1</x:v>
      </x:c>
      <x:c r="M117" s="76" t="n">
        <x:v>0.16</x:v>
      </x:c>
      <x:c r="N117" t="str">
        <x:v>CVD divergence</x:v>
      </x:c>
      <x:c r="O117" t="str">
        <x:v>Ignored funding</x:v>
      </x:c>
    </x:row>
    <x:row r="118">
      <x:c r="A118" t="n">
        <x:v>114</x:v>
      </x:c>
      <x:c r="B118" s="72" t="n">
        <x:v>46125.958333333336</x:v>
      </x:c>
      <x:c r="C118" t="str">
        <x:v>ADAUSDT</x:v>
      </x:c>
      <x:c r="D118" t="str">
        <x:v>Binance</x:v>
      </x:c>
      <x:c r="E118" t="str">
        <x:v>3m</x:v>
      </x:c>
      <x:c r="F118" t="str">
        <x:v>Short</x:v>
      </x:c>
      <x:c r="G118" s="74" t="n">
        <x:v>0.53073</x:v>
      </x:c>
      <x:c r="H118" s="74" t="n">
        <x:v>0.520833</x:v>
      </x:c>
      <x:c r="I118" s="74" t="n">
        <x:v>0.537034</x:v>
      </x:c>
      <x:c r="J118" s="74" t="n">
        <x:v>0.508746</x:v>
      </x:c>
      <x:c r="K118" s="76" t="n">
        <x:v>1000</x:v>
      </x:c>
      <x:c r="L118" s="76" t="n">
        <x:v>2</x:v>
      </x:c>
      <x:c r="M118" s="76" t="n">
        <x:v>1.6</x:v>
      </x:c>
      <x:c r="N118" t="str">
        <x:v>Liquidity sweep</x:v>
      </x:c>
      <x:c r="O118" t="str">
        <x:v>Oversized</x:v>
      </x:c>
    </x:row>
    <x:row r="119">
      <x:c r="A119" t="n">
        <x:v>115</x:v>
      </x:c>
      <x:c r="B119" s="72" t="n">
        <x:v>46100.75</x:v>
      </x:c>
      <x:c r="C119" t="str">
        <x:v>BNBUSDT</x:v>
      </x:c>
      <x:c r="D119" t="str">
        <x:v>Binance</x:v>
      </x:c>
      <x:c r="E119" t="str">
        <x:v>1h</x:v>
      </x:c>
      <x:c r="F119" t="str">
        <x:v>Long</x:v>
      </x:c>
      <x:c r="G119" s="74" t="n">
        <x:v>505.881638</x:v>
      </x:c>
      <x:c r="H119" s="74" t="n">
        <x:v>513.449663</x:v>
      </x:c>
      <x:c r="I119" s="74" t="n">
        <x:v>493.891252</x:v>
      </x:c>
      <x:c r="J119" s="74" t="n">
        <x:v>513.788691</x:v>
      </x:c>
      <x:c r="K119" s="76" t="n">
        <x:v>300</x:v>
      </x:c>
      <x:c r="L119" s="76" t="n">
        <x:v>3</x:v>
      </x:c>
      <x:c r="M119" s="76" t="n">
        <x:v>0.72</x:v>
      </x:c>
      <x:c r="N119" t="str">
        <x:v>VWAP reclaim</x:v>
      </x:c>
      <x:c r="O119" t="str">
        <x:v>None</x:v>
      </x:c>
    </x:row>
    <x:row r="120">
      <x:c r="A120" t="n">
        <x:v>116</x:v>
      </x:c>
      <x:c r="B120" s="72" t="n">
        <x:v>46026.208333333336</x:v>
      </x:c>
      <x:c r="C120" t="str">
        <x:v>SOLUSDT</x:v>
      </x:c>
      <x:c r="D120" t="str">
        <x:v>Bybit</x:v>
      </x:c>
      <x:c r="E120" t="str">
        <x:v>15m</x:v>
      </x:c>
      <x:c r="F120" t="str">
        <x:v>Long</x:v>
      </x:c>
      <x:c r="G120" s="74" t="n">
        <x:v>160.141154</x:v>
      </x:c>
      <x:c r="H120" s="74" t="n">
        <x:v>165.035164</x:v>
      </x:c>
      <x:c r="I120" s="74" t="n">
        <x:v>157.320219</x:v>
      </x:c>
      <x:c r="J120" s="74" t="n">
        <x:v>164.047084</x:v>
      </x:c>
      <x:c r="K120" s="76" t="n">
        <x:v>150</x:v>
      </x:c>
      <x:c r="L120" s="76" t="n">
        <x:v>10</x:v>
      </x:c>
      <x:c r="M120" s="76" t="n">
        <x:v>1.2</x:v>
      </x:c>
      <x:c r="N120" t="str">
        <x:v>CVD divergence</x:v>
      </x:c>
      <x:c r="O120" t="str">
        <x:v>Moved SL</x:v>
      </x:c>
    </x:row>
    <x:row r="121">
      <x:c r="A121" t="n">
        <x:v>117</x:v>
      </x:c>
      <x:c r="B121" s="72" t="n">
        <x:v>46024.125</x:v>
      </x:c>
      <x:c r="C121" t="str">
        <x:v>ETHUSDT</x:v>
      </x:c>
      <x:c r="D121" t="str">
        <x:v>Bybit</x:v>
      </x:c>
      <x:c r="E121" t="str">
        <x:v>1h</x:v>
      </x:c>
      <x:c r="F121" t="str">
        <x:v>Long</x:v>
      </x:c>
      <x:c r="G121" s="74" t="n">
        <x:v>3852.963828</x:v>
      </x:c>
      <x:c r="H121" s="74" t="n">
        <x:v>3801.12482</x:v>
      </x:c>
      <x:c r="I121" s="74" t="n">
        <x:v>3769.317973</x:v>
      </x:c>
      <x:c r="J121" s="74" t="n">
        <x:v>3994.774844</x:v>
      </x:c>
      <x:c r="K121" s="76" t="n">
        <x:v>150</x:v>
      </x:c>
      <x:c r="L121" s="76" t="n">
        <x:v>5</x:v>
      </x:c>
      <x:c r="M121" s="76" t="n">
        <x:v>0.6</x:v>
      </x:c>
      <x:c r="N121" t="str">
        <x:v>VWAP reclaim</x:v>
      </x:c>
      <x:c r="O121" t="str">
        <x:v>Ignored funding</x:v>
      </x:c>
    </x:row>
    <x:row r="122">
      <x:c r="A122" t="n">
        <x:v>118</x:v>
      </x:c>
      <x:c r="B122" s="72" t="n">
        <x:v>46116.125</x:v>
      </x:c>
      <x:c r="C122" t="str">
        <x:v>XRPUSDT</x:v>
      </x:c>
      <x:c r="D122" t="str">
        <x:v>OKX</x:v>
      </x:c>
      <x:c r="E122" t="str">
        <x:v>1h</x:v>
      </x:c>
      <x:c r="F122" t="str">
        <x:v>Long</x:v>
      </x:c>
      <x:c r="G122" s="74" t="n">
        <x:v>0.475243</x:v>
      </x:c>
      <x:c r="H122" s="74" t="n">
        <x:v>0.478393</x:v>
      </x:c>
      <x:c r="I122" s="74" t="n">
        <x:v>0.470047</x:v>
      </x:c>
      <x:c r="J122" s="74" t="n">
        <x:v>0.491874</x:v>
      </x:c>
      <x:c r="K122" s="76" t="n">
        <x:v>100</x:v>
      </x:c>
      <x:c r="L122" s="76" t="n">
        <x:v>10</x:v>
      </x:c>
      <x:c r="M122" s="76" t="n">
        <x:v>0.8</x:v>
      </x:c>
      <x:c r="N122" t="str">
        <x:v>Liquidity sweep</x:v>
      </x:c>
      <x:c r="O122" t="str">
        <x:v>Oversized</x:v>
      </x:c>
    </x:row>
    <x:row r="123">
      <x:c r="A123" t="n">
        <x:v>119</x:v>
      </x:c>
      <x:c r="B123" s="72" t="n">
        <x:v>46126.791666666664</x:v>
      </x:c>
      <x:c r="C123" t="str">
        <x:v>SOLUSDT</x:v>
      </x:c>
      <x:c r="D123" t="str">
        <x:v>OKX</x:v>
      </x:c>
      <x:c r="E123" t="str">
        <x:v>5m</x:v>
      </x:c>
      <x:c r="F123" t="str">
        <x:v>Long</x:v>
      </x:c>
      <x:c r="G123" s="74" t="n">
        <x:v>155.202775</x:v>
      </x:c>
      <x:c r="H123" s="74" t="n">
        <x:v>154.342354</x:v>
      </x:c>
      <x:c r="I123" s="74" t="n">
        <x:v>151.681993</x:v>
      </x:c>
      <x:c r="J123" s="74" t="n">
        <x:v>163.447487</x:v>
      </x:c>
      <x:c r="K123" s="76" t="n">
        <x:v>1000</x:v>
      </x:c>
      <x:c r="L123" s="76" t="n">
        <x:v>5</x:v>
      </x:c>
      <x:c r="M123" s="76" t="n">
        <x:v>4</x:v>
      </x:c>
      <x:c r="N123" t="str">
        <x:v>Liquidity sweep</x:v>
      </x:c>
      <x:c r="O123" t="str">
        <x:v>None</x:v>
      </x:c>
    </x:row>
    <x:row r="124">
      <x:c r="A124" t="n">
        <x:v>120</x:v>
      </x:c>
      <x:c r="B124" s="72" t="n">
        <x:v>46085.916666666664</x:v>
      </x:c>
      <x:c r="C124" t="str">
        <x:v>SOLUSDT</x:v>
      </x:c>
      <x:c r="D124" t="str">
        <x:v>Bybit</x:v>
      </x:c>
      <x:c r="E124" t="str">
        <x:v>15m</x:v>
      </x:c>
      <x:c r="F124" t="str">
        <x:v>Short</x:v>
      </x:c>
      <x:c r="G124" s="74" t="n">
        <x:v>127.656374</x:v>
      </x:c>
      <x:c r="H124" s="74" t="n">
        <x:v>129.922343</x:v>
      </x:c>
      <x:c r="I124" s="74" t="n">
        <x:v>129.952828</x:v>
      </x:c>
      <x:c r="J124" s="74" t="n">
        <x:v>123.146314</x:v>
      </x:c>
      <x:c r="K124" s="76" t="n">
        <x:v>250</x:v>
      </x:c>
      <x:c r="L124" s="76" t="n">
        <x:v>1</x:v>
      </x:c>
      <x:c r="M124" s="76" t="n">
        <x:v>0.2</x:v>
      </x:c>
      <x:c r="N124" t="str">
        <x:v>Trend continuation</x:v>
      </x:c>
      <x:c r="O124" t="str">
        <x:v>Ignored funding</x:v>
      </x:c>
    </x:row>
    <x:row r="125">
      <x:c r="A125" t="n">
        <x:v>121</x:v>
      </x:c>
      <x:c r="B125" s="72" t="n">
        <x:v>46118.916666666664</x:v>
      </x:c>
      <x:c r="C125" t="str">
        <x:v>BNBUSDT</x:v>
      </x:c>
      <x:c r="D125" t="str">
        <x:v>Bybit</x:v>
      </x:c>
      <x:c r="E125" t="str">
        <x:v>5m</x:v>
      </x:c>
      <x:c r="F125" t="str">
        <x:v>Long</x:v>
      </x:c>
      <x:c r="G125" s="74" t="n">
        <x:v>587.482201</x:v>
      </x:c>
      <x:c r="H125" s="74" t="n">
        <x:v>575.366504</x:v>
      </x:c>
      <x:c r="I125" s="74" t="n">
        <x:v>575.667559</x:v>
      </x:c>
      <x:c r="J125" s="74" t="n">
        <x:v>617.216452</x:v>
      </x:c>
      <x:c r="K125" s="76" t="n">
        <x:v>750</x:v>
      </x:c>
      <x:c r="L125" s="76" t="n">
        <x:v>3</x:v>
      </x:c>
      <x:c r="M125" s="76" t="n">
        <x:v>1.8</x:v>
      </x:c>
      <x:c r="N125" t="str">
        <x:v>Range deviation</x:v>
      </x:c>
      <x:c r="O125" t="str">
        <x:v>Late entry</x:v>
      </x:c>
    </x:row>
    <x:row r="126">
      <x:c r="A126" t="n">
        <x:v>122</x:v>
      </x:c>
      <x:c r="B126" s="72" t="n">
        <x:v>46113.333333333336</x:v>
      </x:c>
      <x:c r="C126" t="str">
        <x:v>ADAUSDT</x:v>
      </x:c>
      <x:c r="D126" t="str">
        <x:v>Binance</x:v>
      </x:c>
      <x:c r="E126" t="str">
        <x:v>5m</x:v>
      </x:c>
      <x:c r="F126" t="str">
        <x:v>Long</x:v>
      </x:c>
      <x:c r="G126" s="74" t="n">
        <x:v>0.49043</x:v>
      </x:c>
      <x:c r="H126" s="74" t="n">
        <x:v>0.474372</x:v>
      </x:c>
      <x:c r="I126" s="74" t="n">
        <x:v>0.482054</x:v>
      </x:c>
      <x:c r="J126" s="74" t="n">
        <x:v>0.506393</x:v>
      </x:c>
      <x:c r="K126" s="76" t="n">
        <x:v>500</x:v>
      </x:c>
      <x:c r="L126" s="76" t="n">
        <x:v>1</x:v>
      </x:c>
      <x:c r="M126" s="76" t="n">
        <x:v>0.4</x:v>
      </x:c>
      <x:c r="N126" t="str">
        <x:v>Range deviation</x:v>
      </x:c>
      <x:c r="O126" t="str">
        <x:v>No HTF confirmation</x:v>
      </x:c>
    </x:row>
    <x:row r="127">
      <x:c r="A127" t="n">
        <x:v>123</x:v>
      </x:c>
      <x:c r="B127" s="72" t="n">
        <x:v>46153.583333333336</x:v>
      </x:c>
      <x:c r="C127" t="str">
        <x:v>WLFIUSDT</x:v>
      </x:c>
      <x:c r="D127" t="str">
        <x:v>OKX</x:v>
      </x:c>
      <x:c r="E127" t="str">
        <x:v>3m</x:v>
      </x:c>
      <x:c r="F127" t="str">
        <x:v>Long</x:v>
      </x:c>
      <x:c r="G127" s="74" t="n">
        <x:v>0.062797</x:v>
      </x:c>
      <x:c r="H127" s="74" t="n">
        <x:v>0.06323</x:v>
      </x:c>
      <x:c r="I127" s="74" t="n">
        <x:v>0.061814</x:v>
      </x:c>
      <x:c r="J127" s="74" t="n">
        <x:v>0.064939</x:v>
      </x:c>
      <x:c r="K127" s="76" t="n">
        <x:v>500</x:v>
      </x:c>
      <x:c r="L127" s="76" t="n">
        <x:v>1</x:v>
      </x:c>
      <x:c r="M127" s="76" t="n">
        <x:v>0.4</x:v>
      </x:c>
      <x:c r="N127" t="str">
        <x:v>CVD divergence</x:v>
      </x:c>
      <x:c r="O127" t="str">
        <x:v>Oversized</x:v>
      </x:c>
    </x:row>
    <x:row r="128">
      <x:c r="A128" t="n">
        <x:v>124</x:v>
      </x:c>
      <x:c r="B128" s="72" t="n">
        <x:v>46116.125</x:v>
      </x:c>
      <x:c r="C128" t="str">
        <x:v>ETHUSDT</x:v>
      </x:c>
      <x:c r="D128" t="str">
        <x:v>Bybit</x:v>
      </x:c>
      <x:c r="E128" t="str">
        <x:v>3m</x:v>
      </x:c>
      <x:c r="F128" t="str">
        <x:v>Long</x:v>
      </x:c>
      <x:c r="G128" s="74" t="n">
        <x:v>3149.088161</x:v>
      </x:c>
      <x:c r="H128" s="74" t="n">
        <x:v>3038.306601</x:v>
      </x:c>
      <x:c r="I128" s="74" t="n">
        <x:v>3073.322231</x:v>
      </x:c>
      <x:c r="J128" s="74" t="n">
        <x:v>3211.4289</x:v>
      </x:c>
      <x:c r="K128" s="76" t="n">
        <x:v>100</x:v>
      </x:c>
      <x:c r="L128" s="76" t="n">
        <x:v>3</x:v>
      </x:c>
      <x:c r="M128" s="76" t="n">
        <x:v>0.24</x:v>
      </x:c>
      <x:c r="N128" t="str">
        <x:v>Range deviation</x:v>
      </x:c>
      <x:c r="O128" t="str">
        <x:v>Oversized</x:v>
      </x:c>
    </x:row>
    <x:row r="129">
      <x:c r="A129" t="n">
        <x:v>125</x:v>
      </x:c>
      <x:c r="B129" s="72" t="n">
        <x:v>46134.5</x:v>
      </x:c>
      <x:c r="C129" t="str">
        <x:v>BTCUSDT</x:v>
      </x:c>
      <x:c r="D129" t="str">
        <x:v>Bybit</x:v>
      </x:c>
      <x:c r="E129" t="str">
        <x:v>5m</x:v>
      </x:c>
      <x:c r="F129" t="str">
        <x:v>Long</x:v>
      </x:c>
      <x:c r="G129" s="74" t="n">
        <x:v>72509.946104</x:v>
      </x:c>
      <x:c r="H129" s="74" t="n">
        <x:v>71067.424657</x:v>
      </x:c>
      <x:c r="I129" s="74" t="n">
        <x:v>70858.5237</x:v>
      </x:c>
      <x:c r="J129" s="74" t="n">
        <x:v>74063.577608</x:v>
      </x:c>
      <x:c r="K129" s="76" t="n">
        <x:v>150</x:v>
      </x:c>
      <x:c r="L129" s="76" t="n">
        <x:v>10</x:v>
      </x:c>
      <x:c r="M129" s="76" t="n">
        <x:v>1.2</x:v>
      </x:c>
      <x:c r="N129" t="str">
        <x:v>Trend continuation</x:v>
      </x:c>
      <x:c r="O129" t="str">
        <x:v>No HTF confirmation</x:v>
      </x:c>
    </x:row>
    <x:row r="130">
      <x:c r="A130" t="n">
        <x:v>126</x:v>
      </x:c>
      <x:c r="B130" s="72" t="n">
        <x:v>46125.125</x:v>
      </x:c>
      <x:c r="C130" t="str">
        <x:v>BTCUSDT</x:v>
      </x:c>
      <x:c r="D130" t="str">
        <x:v>Binance</x:v>
      </x:c>
      <x:c r="E130" t="str">
        <x:v>1h</x:v>
      </x:c>
      <x:c r="F130" t="str">
        <x:v>Short</x:v>
      </x:c>
      <x:c r="G130" s="74" t="n">
        <x:v>63712.230549</x:v>
      </x:c>
      <x:c r="H130" s="74" t="n">
        <x:v>62710.442286</x:v>
      </x:c>
      <x:c r="I130" s="74" t="n">
        <x:v>64296.647053</x:v>
      </x:c>
      <x:c r="J130" s="74" t="n">
        <x:v>60439.839952</x:v>
      </x:c>
      <x:c r="K130" s="76" t="n">
        <x:v>750</x:v>
      </x:c>
      <x:c r="L130" s="76" t="n">
        <x:v>5</x:v>
      </x:c>
      <x:c r="M130" s="76" t="n">
        <x:v>3</x:v>
      </x:c>
      <x:c r="N130" t="str">
        <x:v>Range deviation</x:v>
      </x:c>
      <x:c r="O130" t="str">
        <x:v>None</x:v>
      </x:c>
    </x:row>
    <x:row r="131">
      <x:c r="A131" t="n">
        <x:v>127</x:v>
      </x:c>
      <x:c r="B131" s="72" t="n">
        <x:v>46144.125</x:v>
      </x:c>
      <x:c r="C131" t="str">
        <x:v>BNBUSDT</x:v>
      </x:c>
      <x:c r="D131" t="str">
        <x:v>Binance</x:v>
      </x:c>
      <x:c r="E131" t="str">
        <x:v>5m</x:v>
      </x:c>
      <x:c r="F131" t="str">
        <x:v>Long</x:v>
      </x:c>
      <x:c r="G131" s="74" t="n">
        <x:v>573.609125</x:v>
      </x:c>
      <x:c r="H131" s="74" t="n">
        <x:v>563.427004</x:v>
      </x:c>
      <x:c r="I131" s="74" t="n">
        <x:v>559.773184</x:v>
      </x:c>
      <x:c r="J131" s="74" t="n">
        <x:v>605.002236</x:v>
      </x:c>
      <x:c r="K131" s="76" t="n">
        <x:v>500</x:v>
      </x:c>
      <x:c r="L131" s="76" t="n">
        <x:v>3</x:v>
      </x:c>
      <x:c r="M131" s="76" t="n">
        <x:v>1.2</x:v>
      </x:c>
      <x:c r="N131" t="str">
        <x:v>CVD divergence</x:v>
      </x:c>
      <x:c r="O131" t="str">
        <x:v>No HTF confirmation</x:v>
      </x:c>
    </x:row>
    <x:row r="132">
      <x:c r="A132" t="n">
        <x:v>128</x:v>
      </x:c>
      <x:c r="B132" s="72" t="n">
        <x:v>46171.041666666664</x:v>
      </x:c>
      <x:c r="C132" t="str">
        <x:v>ADAUSDT</x:v>
      </x:c>
      <x:c r="D132" t="str">
        <x:v>Binance</x:v>
      </x:c>
      <x:c r="E132" t="str">
        <x:v>15m</x:v>
      </x:c>
      <x:c r="F132" t="str">
        <x:v>Long</x:v>
      </x:c>
      <x:c r="G132" s="74" t="n">
        <x:v>0.44432</x:v>
      </x:c>
      <x:c r="H132" s="74" t="n">
        <x:v>0.442265</x:v>
      </x:c>
      <x:c r="I132" s="74" t="n">
        <x:v>0.440722</x:v>
      </x:c>
      <x:c r="J132" s="74" t="n">
        <x:v>0.453791</x:v>
      </x:c>
      <x:c r="K132" s="76" t="n">
        <x:v>500</x:v>
      </x:c>
      <x:c r="L132" s="76" t="n">
        <x:v>3</x:v>
      </x:c>
      <x:c r="M132" s="76" t="n">
        <x:v>1.2</x:v>
      </x:c>
      <x:c r="N132" t="str">
        <x:v>Range deviation</x:v>
      </x:c>
      <x:c r="O132" t="str">
        <x:v>No HTF confirmation</x:v>
      </x:c>
    </x:row>
    <x:row r="133">
      <x:c r="A133" t="n">
        <x:v>129</x:v>
      </x:c>
      <x:c r="B133" s="72" t="n">
        <x:v>46173.541666666664</x:v>
      </x:c>
      <x:c r="C133" t="str">
        <x:v>XRPUSDT</x:v>
      </x:c>
      <x:c r="D133" t="str">
        <x:v>OKX</x:v>
      </x:c>
      <x:c r="E133" t="str">
        <x:v>5m</x:v>
      </x:c>
      <x:c r="F133" t="str">
        <x:v>Long</x:v>
      </x:c>
      <x:c r="G133" s="74" t="n">
        <x:v>0.442528</x:v>
      </x:c>
      <x:c r="H133" s="74" t="n">
        <x:v>0.433317</x:v>
      </x:c>
      <x:c r="I133" s="74" t="n">
        <x:v>0.434965</x:v>
      </x:c>
      <x:c r="J133" s="74" t="n">
        <x:v>0.451582</x:v>
      </x:c>
      <x:c r="K133" s="76" t="n">
        <x:v>300</x:v>
      </x:c>
      <x:c r="L133" s="76" t="n">
        <x:v>5</x:v>
      </x:c>
      <x:c r="M133" s="76" t="n">
        <x:v>1.2</x:v>
      </x:c>
      <x:c r="N133" t="str">
        <x:v>CVD divergence</x:v>
      </x:c>
      <x:c r="O133" t="str">
        <x:v>Moved SL</x:v>
      </x:c>
    </x:row>
    <x:row r="134">
      <x:c r="A134" t="n">
        <x:v>130</x:v>
      </x:c>
      <x:c r="B134" s="72" t="n">
        <x:v>46101.25</x:v>
      </x:c>
      <x:c r="C134" t="str">
        <x:v>WLFIUSDT</x:v>
      </x:c>
      <x:c r="D134" t="str">
        <x:v>Bybit</x:v>
      </x:c>
      <x:c r="E134" t="str">
        <x:v>15m</x:v>
      </x:c>
      <x:c r="F134" t="str">
        <x:v>Short</x:v>
      </x:c>
      <x:c r="G134" s="74" t="n">
        <x:v>0.061838</x:v>
      </x:c>
      <x:c r="H134" s="74" t="n">
        <x:v>0.060553</x:v>
      </x:c>
      <x:c r="I134" s="74" t="n">
        <x:v>0.062847</x:v>
      </x:c>
      <x:c r="J134" s="74" t="n">
        <x:v>0.060024</x:v>
      </x:c>
      <x:c r="K134" s="76" t="n">
        <x:v>200</x:v>
      </x:c>
      <x:c r="L134" s="76" t="n">
        <x:v>3</x:v>
      </x:c>
      <x:c r="M134" s="76" t="n">
        <x:v>0.48</x:v>
      </x:c>
      <x:c r="N134" t="str">
        <x:v>Trend continuation</x:v>
      </x:c>
      <x:c r="O134" t="str">
        <x:v>Ignored funding</x:v>
      </x:c>
    </x:row>
    <x:row r="135">
      <x:c r="A135" t="n">
        <x:v>131</x:v>
      </x:c>
      <x:c r="B135" s="72" t="n">
        <x:v>46060.875</x:v>
      </x:c>
      <x:c r="C135" t="str">
        <x:v>WLFIUSDT</x:v>
      </x:c>
      <x:c r="D135" t="str">
        <x:v>Bybit</x:v>
      </x:c>
      <x:c r="E135" t="str">
        <x:v>3m</x:v>
      </x:c>
      <x:c r="F135" t="str">
        <x:v>Long</x:v>
      </x:c>
      <x:c r="G135" s="74" t="n">
        <x:v>0.053168</x:v>
      </x:c>
      <x:c r="H135" s="74" t="n">
        <x:v>0.052321</x:v>
      </x:c>
      <x:c r="I135" s="74" t="n">
        <x:v>0.052652</x:v>
      </x:c>
      <x:c r="J135" s="74" t="n">
        <x:v>0.054207</x:v>
      </x:c>
      <x:c r="K135" s="76" t="n">
        <x:v>150</x:v>
      </x:c>
      <x:c r="L135" s="76" t="n">
        <x:v>1</x:v>
      </x:c>
      <x:c r="M135" s="76" t="n">
        <x:v>0.12</x:v>
      </x:c>
      <x:c r="N135" t="str">
        <x:v>Range deviation</x:v>
      </x:c>
      <x:c r="O135" t="str">
        <x:v>Oversized</x:v>
      </x:c>
    </x:row>
    <x:row r="136">
      <x:c r="A136" t="n">
        <x:v>132</x:v>
      </x:c>
      <x:c r="B136" s="72" t="n">
        <x:v>46132.041666666664</x:v>
      </x:c>
      <x:c r="C136" t="str">
        <x:v>WLFIUSDT</x:v>
      </x:c>
      <x:c r="D136" t="str">
        <x:v>Bybit</x:v>
      </x:c>
      <x:c r="E136" t="str">
        <x:v>15m</x:v>
      </x:c>
      <x:c r="F136" t="str">
        <x:v>Long</x:v>
      </x:c>
      <x:c r="G136" s="74" t="n">
        <x:v>0.060064</x:v>
      </x:c>
      <x:c r="H136" s="74" t="n">
        <x:v>0.060478</x:v>
      </x:c>
      <x:c r="I136" s="74" t="n">
        <x:v>0.058886</x:v>
      </x:c>
      <x:c r="J136" s="74" t="n">
        <x:v>0.063355</x:v>
      </x:c>
      <x:c r="K136" s="76" t="n">
        <x:v>200</x:v>
      </x:c>
      <x:c r="L136" s="76" t="n">
        <x:v>1</x:v>
      </x:c>
      <x:c r="M136" s="76" t="n">
        <x:v>0.16</x:v>
      </x:c>
      <x:c r="N136" t="str">
        <x:v>Range deviation</x:v>
      </x:c>
      <x:c r="O136" t="str">
        <x:v>No HTF confirmation</x:v>
      </x:c>
    </x:row>
    <x:row r="137">
      <x:c r="A137" t="n">
        <x:v>133</x:v>
      </x:c>
      <x:c r="B137" s="72" t="n">
        <x:v>46064.583333333336</x:v>
      </x:c>
      <x:c r="C137" t="str">
        <x:v>BTCUSDT</x:v>
      </x:c>
      <x:c r="D137" t="str">
        <x:v>Bybit</x:v>
      </x:c>
      <x:c r="E137" t="str">
        <x:v>3m</x:v>
      </x:c>
      <x:c r="F137" t="str">
        <x:v>Long</x:v>
      </x:c>
      <x:c r="G137" s="74" t="n">
        <x:v>72058.527339</x:v>
      </x:c>
      <x:c r="H137" s="74" t="n">
        <x:v>73198.501923</x:v>
      </x:c>
      <x:c r="I137" s="74" t="n">
        <x:v>70680.302768</x:v>
      </x:c>
      <x:c r="J137" s="74" t="n">
        <x:v>75677.409328</x:v>
      </x:c>
      <x:c r="K137" s="76" t="n">
        <x:v>100</x:v>
      </x:c>
      <x:c r="L137" s="76" t="n">
        <x:v>1</x:v>
      </x:c>
      <x:c r="M137" s="76" t="n">
        <x:v>0.08</x:v>
      </x:c>
      <x:c r="N137" t="str">
        <x:v>VWAP reclaim</x:v>
      </x:c>
      <x:c r="O137" t="str">
        <x:v>Moved SL</x:v>
      </x:c>
    </x:row>
    <x:row r="138">
      <x:c r="A138" t="n">
        <x:v>134</x:v>
      </x:c>
      <x:c r="B138" s="72" t="n">
        <x:v>46024.291666666664</x:v>
      </x:c>
      <x:c r="C138" t="str">
        <x:v>FARTCOINUSDT</x:v>
      </x:c>
      <x:c r="D138" t="str">
        <x:v>OKX</x:v>
      </x:c>
      <x:c r="E138" t="str">
        <x:v>3m</x:v>
      </x:c>
      <x:c r="F138" t="str">
        <x:v>Long</x:v>
      </x:c>
      <x:c r="G138" s="74" t="n">
        <x:v>0.151646</x:v>
      </x:c>
      <x:c r="H138" s="74" t="n">
        <x:v>0.154491</x:v>
      </x:c>
      <x:c r="I138" s="74" t="n">
        <x:v>0.149917</x:v>
      </x:c>
      <x:c r="J138" s="74" t="n">
        <x:v>0.156843</x:v>
      </x:c>
      <x:c r="K138" s="76" t="n">
        <x:v>100</x:v>
      </x:c>
      <x:c r="L138" s="76" t="n">
        <x:v>5</x:v>
      </x:c>
      <x:c r="M138" s="76" t="n">
        <x:v>0.4</x:v>
      </x:c>
      <x:c r="N138" t="str">
        <x:v>OB retest</x:v>
      </x:c>
      <x:c r="O138" t="str">
        <x:v>Moved SL</x:v>
      </x:c>
    </x:row>
    <x:row r="139">
      <x:c r="A139" t="n">
        <x:v>135</x:v>
      </x:c>
      <x:c r="B139" s="72" t="n">
        <x:v>46160.333333333336</x:v>
      </x:c>
      <x:c r="C139" t="str">
        <x:v>ADAUSDT</x:v>
      </x:c>
      <x:c r="D139" t="str">
        <x:v>Bybit</x:v>
      </x:c>
      <x:c r="E139" t="str">
        <x:v>5m</x:v>
      </x:c>
      <x:c r="F139" t="str">
        <x:v>Long</x:v>
      </x:c>
      <x:c r="G139" s="74" t="n">
        <x:v>0.540642</x:v>
      </x:c>
      <x:c r="H139" s="74" t="n">
        <x:v>0.538258</x:v>
      </x:c>
      <x:c r="I139" s="74" t="n">
        <x:v>0.534401</x:v>
      </x:c>
      <x:c r="J139" s="74" t="n">
        <x:v>0.55609</x:v>
      </x:c>
      <x:c r="K139" s="76" t="n">
        <x:v>150</x:v>
      </x:c>
      <x:c r="L139" s="76" t="n">
        <x:v>1</x:v>
      </x:c>
      <x:c r="M139" s="76" t="n">
        <x:v>0.12</x:v>
      </x:c>
      <x:c r="N139" t="str">
        <x:v>Range deviation</x:v>
      </x:c>
      <x:c r="O139" t="str">
        <x:v>Late entry</x:v>
      </x:c>
    </x:row>
    <x:row r="140">
      <x:c r="A140" t="n">
        <x:v>136</x:v>
      </x:c>
      <x:c r="B140" s="72" t="n">
        <x:v>46115.166666666664</x:v>
      </x:c>
      <x:c r="C140" t="str">
        <x:v>ADAUSDT</x:v>
      </x:c>
      <x:c r="D140" t="str">
        <x:v>Bybit</x:v>
      </x:c>
      <x:c r="E140" t="str">
        <x:v>15m</x:v>
      </x:c>
      <x:c r="F140" t="str">
        <x:v>Long</x:v>
      </x:c>
      <x:c r="G140" s="74" t="n">
        <x:v>0.427769</x:v>
      </x:c>
      <x:c r="H140" s="74" t="n">
        <x:v>0.418777</x:v>
      </x:c>
      <x:c r="I140" s="74" t="n">
        <x:v>0.423619</x:v>
      </x:c>
      <x:c r="J140" s="74" t="n">
        <x:v>0.43897</x:v>
      </x:c>
      <x:c r="K140" s="76" t="n">
        <x:v>150</x:v>
      </x:c>
      <x:c r="L140" s="76" t="n">
        <x:v>5</x:v>
      </x:c>
      <x:c r="M140" s="76" t="n">
        <x:v>0.6</x:v>
      </x:c>
      <x:c r="N140" t="str">
        <x:v>CVD divergence</x:v>
      </x:c>
      <x:c r="O140" t="str">
        <x:v>None</x:v>
      </x:c>
    </x:row>
    <x:row r="141">
      <x:c r="A141" t="n">
        <x:v>137</x:v>
      </x:c>
      <x:c r="B141" s="72" t="n">
        <x:v>46127.583333333336</x:v>
      </x:c>
      <x:c r="C141" t="str">
        <x:v>WLFIUSDT</x:v>
      </x:c>
      <x:c r="D141" t="str">
        <x:v>OKX</x:v>
      </x:c>
      <x:c r="E141" t="str">
        <x:v>1h</x:v>
      </x:c>
      <x:c r="F141" t="str">
        <x:v>Short</x:v>
      </x:c>
      <x:c r="G141" s="74" t="n">
        <x:v>0.062589</x:v>
      </x:c>
      <x:c r="H141" s="74" t="n">
        <x:v>0.062078</x:v>
      </x:c>
      <x:c r="I141" s="74" t="n">
        <x:v>0.06406</x:v>
      </x:c>
      <x:c r="J141" s="74" t="n">
        <x:v>0.059883</x:v>
      </x:c>
      <x:c r="K141" s="76" t="n">
        <x:v>1000</x:v>
      </x:c>
      <x:c r="L141" s="76" t="n">
        <x:v>3</x:v>
      </x:c>
      <x:c r="M141" s="76" t="n">
        <x:v>2.4</x:v>
      </x:c>
      <x:c r="N141" t="str">
        <x:v>VWAP reclaim</x:v>
      </x:c>
      <x:c r="O141" t="str">
        <x:v>None</x:v>
      </x:c>
    </x:row>
    <x:row r="142">
      <x:c r="A142" t="n">
        <x:v>138</x:v>
      </x:c>
      <x:c r="B142" s="72" t="n">
        <x:v>46122.958333333336</x:v>
      </x:c>
      <x:c r="C142" t="str">
        <x:v>SOLUSDT</x:v>
      </x:c>
      <x:c r="D142" t="str">
        <x:v>Binance</x:v>
      </x:c>
      <x:c r="E142" t="str">
        <x:v>15m</x:v>
      </x:c>
      <x:c r="F142" t="str">
        <x:v>Short</x:v>
      </x:c>
      <x:c r="G142" s="74" t="n">
        <x:v>162.287134</x:v>
      </x:c>
      <x:c r="H142" s="74" t="n">
        <x:v>165.591108</x:v>
      </x:c>
      <x:c r="I142" s="74" t="n">
        <x:v>166.294933</x:v>
      </x:c>
      <x:c r="J142" s="74" t="n">
        <x:v>158.563013</x:v>
      </x:c>
      <x:c r="K142" s="76" t="n">
        <x:v>150</x:v>
      </x:c>
      <x:c r="L142" s="76" t="n">
        <x:v>1</x:v>
      </x:c>
      <x:c r="M142" s="76" t="n">
        <x:v>0.12</x:v>
      </x:c>
      <x:c r="N142" t="str">
        <x:v>Liquidity sweep</x:v>
      </x:c>
      <x:c r="O142" t="str">
        <x:v>Oversized</x:v>
      </x:c>
    </x:row>
    <x:row r="143">
      <x:c r="A143" t="n">
        <x:v>139</x:v>
      </x:c>
      <x:c r="B143" s="72" t="n">
        <x:v>46107.541666666664</x:v>
      </x:c>
      <x:c r="C143" t="str">
        <x:v>FARTCOINUSDT</x:v>
      </x:c>
      <x:c r="D143" t="str">
        <x:v>Bybit</x:v>
      </x:c>
      <x:c r="E143" t="str">
        <x:v>15m</x:v>
      </x:c>
      <x:c r="F143" t="str">
        <x:v>Short</x:v>
      </x:c>
      <x:c r="G143" s="74" t="n">
        <x:v>0.170166</x:v>
      </x:c>
      <x:c r="H143" s="74" t="n">
        <x:v>0.176003</x:v>
      </x:c>
      <x:c r="I143" s="74" t="n">
        <x:v>0.173161</x:v>
      </x:c>
      <x:c r="J143" s="74" t="n">
        <x:v>0.161387</x:v>
      </x:c>
      <x:c r="K143" s="76" t="n">
        <x:v>250</x:v>
      </x:c>
      <x:c r="L143" s="76" t="n">
        <x:v>5</x:v>
      </x:c>
      <x:c r="M143" s="76" t="n">
        <x:v>1</x:v>
      </x:c>
      <x:c r="N143" t="str">
        <x:v>Liquidity sweep</x:v>
      </x:c>
      <x:c r="O143" t="str">
        <x:v>No HTF confirmation</x:v>
      </x:c>
    </x:row>
    <x:row r="144">
      <x:c r="A144" t="n">
        <x:v>140</x:v>
      </x:c>
      <x:c r="B144" s="72" t="n">
        <x:v>46102.208333333336</x:v>
      </x:c>
      <x:c r="C144" t="str">
        <x:v>FARTCOINUSDT</x:v>
      </x:c>
      <x:c r="D144" t="str">
        <x:v>OKX</x:v>
      </x:c>
      <x:c r="E144" t="str">
        <x:v>5m</x:v>
      </x:c>
      <x:c r="F144" t="str">
        <x:v>Long</x:v>
      </x:c>
      <x:c r="G144" s="74" t="n">
        <x:v>0.16593</x:v>
      </x:c>
      <x:c r="H144" s="74" t="n">
        <x:v>0.165308</x:v>
      </x:c>
      <x:c r="I144" s="74" t="n">
        <x:v>0.163018</x:v>
      </x:c>
      <x:c r="J144" s="74" t="n">
        <x:v>0.169782</x:v>
      </x:c>
      <x:c r="K144" s="76" t="n">
        <x:v>1000</x:v>
      </x:c>
      <x:c r="L144" s="76" t="n">
        <x:v>5</x:v>
      </x:c>
      <x:c r="M144" s="76" t="n">
        <x:v>4</x:v>
      </x:c>
      <x:c r="N144" t="str">
        <x:v>OB retest</x:v>
      </x:c>
      <x:c r="O144" t="str">
        <x:v>Late entry</x:v>
      </x:c>
    </x:row>
    <x:row r="145">
      <x:c r="A145" t="n">
        <x:v>141</x:v>
      </x:c>
      <x:c r="B145" s="72" t="n">
        <x:v>46112.708333333336</x:v>
      </x:c>
      <x:c r="C145" t="str">
        <x:v>ADAUSDT</x:v>
      </x:c>
      <x:c r="D145" t="str">
        <x:v>Binance</x:v>
      </x:c>
      <x:c r="E145" t="str">
        <x:v>3m</x:v>
      </x:c>
      <x:c r="F145" t="str">
        <x:v>Short</x:v>
      </x:c>
      <x:c r="G145" s="74" t="n">
        <x:v>0.473772</x:v>
      </x:c>
      <x:c r="H145" s="74" t="n">
        <x:v>0.471169</x:v>
      </x:c>
      <x:c r="I145" s="74" t="n">
        <x:v>0.480514</x:v>
      </x:c>
      <x:c r="J145" s="74" t="n">
        <x:v>0.453967</x:v>
      </x:c>
      <x:c r="K145" s="76" t="n">
        <x:v>300</x:v>
      </x:c>
      <x:c r="L145" s="76" t="n">
        <x:v>1</x:v>
      </x:c>
      <x:c r="M145" s="76" t="n">
        <x:v>0.24</x:v>
      </x:c>
      <x:c r="N145" t="str">
        <x:v>OB retest</x:v>
      </x:c>
      <x:c r="O145" t="str">
        <x:v>Late entry</x:v>
      </x:c>
    </x:row>
    <x:row r="146">
      <x:c r="A146" t="n">
        <x:v>142</x:v>
      </x:c>
      <x:c r="B146" s="72" t="n">
        <x:v>46097.833333333336</x:v>
      </x:c>
      <x:c r="C146" t="str">
        <x:v>BTCUSDT</x:v>
      </x:c>
      <x:c r="D146" t="str">
        <x:v>OKX</x:v>
      </x:c>
      <x:c r="E146" t="str">
        <x:v>3m</x:v>
      </x:c>
      <x:c r="F146" t="str">
        <x:v>Long</x:v>
      </x:c>
      <x:c r="G146" s="74" t="n">
        <x:v>69392.151775</x:v>
      </x:c>
      <x:c r="H146" s="74" t="n">
        <x:v>69311.421173</x:v>
      </x:c>
      <x:c r="I146" s="74" t="n">
        <x:v>68556.745921</x:v>
      </x:c>
      <x:c r="J146" s="74" t="n">
        <x:v>71082.980773</x:v>
      </x:c>
      <x:c r="K146" s="76" t="n">
        <x:v>150</x:v>
      </x:c>
      <x:c r="L146" s="76" t="n">
        <x:v>1</x:v>
      </x:c>
      <x:c r="M146" s="76" t="n">
        <x:v>0.12</x:v>
      </x:c>
      <x:c r="N146" t="str">
        <x:v>CVD divergence</x:v>
      </x:c>
      <x:c r="O146" t="str">
        <x:v>Oversized</x:v>
      </x:c>
    </x:row>
    <x:row r="147">
      <x:c r="A147" t="n">
        <x:v>143</x:v>
      </x:c>
      <x:c r="B147" s="72" t="n">
        <x:v>46053.416666666664</x:v>
      </x:c>
      <x:c r="C147" t="str">
        <x:v>XRPUSDT</x:v>
      </x:c>
      <x:c r="D147" t="str">
        <x:v>OKX</x:v>
      </x:c>
      <x:c r="E147" t="str">
        <x:v>3m</x:v>
      </x:c>
      <x:c r="F147" t="str">
        <x:v>Short</x:v>
      </x:c>
      <x:c r="G147" s="74" t="n">
        <x:v>0.568346</x:v>
      </x:c>
      <x:c r="H147" s="74" t="n">
        <x:v>0.574499</x:v>
      </x:c>
      <x:c r="I147" s="74" t="n">
        <x:v>0.573839</x:v>
      </x:c>
      <x:c r="J147" s="74" t="n">
        <x:v>0.558548</x:v>
      </x:c>
      <x:c r="K147" s="76" t="n">
        <x:v>100</x:v>
      </x:c>
      <x:c r="L147" s="76" t="n">
        <x:v>3</x:v>
      </x:c>
      <x:c r="M147" s="76" t="n">
        <x:v>0.24</x:v>
      </x:c>
      <x:c r="N147" t="str">
        <x:v>Trend continuation</x:v>
      </x:c>
      <x:c r="O147" t="str">
        <x:v>Late entry</x:v>
      </x:c>
    </x:row>
    <x:row r="148">
      <x:c r="A148" t="n">
        <x:v>144</x:v>
      </x:c>
      <x:c r="B148" s="72" t="n">
        <x:v>46159.041666666664</x:v>
      </x:c>
      <x:c r="C148" t="str">
        <x:v>FARTCOINUSDT</x:v>
      </x:c>
      <x:c r="D148" t="str">
        <x:v>OKX</x:v>
      </x:c>
      <x:c r="E148" t="str">
        <x:v>3m</x:v>
      </x:c>
      <x:c r="F148" t="str">
        <x:v>Short</x:v>
      </x:c>
      <x:c r="G148" s="74" t="n">
        <x:v>0.136187</x:v>
      </x:c>
      <x:c r="H148" s="74" t="n">
        <x:v>0.142105</x:v>
      </x:c>
      <x:c r="I148" s="74" t="n">
        <x:v>0.13948</x:v>
      </x:c>
      <x:c r="J148" s="74" t="n">
        <x:v>0.132548</x:v>
      </x:c>
      <x:c r="K148" s="76" t="n">
        <x:v>150</x:v>
      </x:c>
      <x:c r="L148" s="76" t="n">
        <x:v>2</x:v>
      </x:c>
      <x:c r="M148" s="76" t="n">
        <x:v>0.24</x:v>
      </x:c>
      <x:c r="N148" t="str">
        <x:v>Trend continuation</x:v>
      </x:c>
      <x:c r="O148" t="str">
        <x:v>Oversized</x:v>
      </x:c>
    </x:row>
    <x:row r="149">
      <x:c r="A149" t="n">
        <x:v>145</x:v>
      </x:c>
      <x:c r="B149" s="72" t="n">
        <x:v>46107.5</x:v>
      </x:c>
      <x:c r="C149" t="str">
        <x:v>BTCUSDT</x:v>
      </x:c>
      <x:c r="D149" t="str">
        <x:v>OKX</x:v>
      </x:c>
      <x:c r="E149" t="str">
        <x:v>15m</x:v>
      </x:c>
      <x:c r="F149" t="str">
        <x:v>Long</x:v>
      </x:c>
      <x:c r="G149" s="74" t="n">
        <x:v>76749.595809</x:v>
      </x:c>
      <x:c r="H149" s="74" t="n">
        <x:v>74765.627063</x:v>
      </x:c>
      <x:c r="I149" s="74" t="n">
        <x:v>75166.820361</x:v>
      </x:c>
      <x:c r="J149" s="74" t="n">
        <x:v>77901.036981</x:v>
      </x:c>
      <x:c r="K149" s="76" t="n">
        <x:v>200</x:v>
      </x:c>
      <x:c r="L149" s="76" t="n">
        <x:v>2</x:v>
      </x:c>
      <x:c r="M149" s="76" t="n">
        <x:v>0.32</x:v>
      </x:c>
      <x:c r="N149" t="str">
        <x:v>VWAP reclaim</x:v>
      </x:c>
      <x:c r="O149" t="str">
        <x:v>Moved SL</x:v>
      </x:c>
    </x:row>
    <x:row r="150">
      <x:c r="A150" t="n">
        <x:v>146</x:v>
      </x:c>
      <x:c r="B150" s="72" t="n">
        <x:v>46100.833333333336</x:v>
      </x:c>
      <x:c r="C150" t="str">
        <x:v>SOLUSDT</x:v>
      </x:c>
      <x:c r="D150" t="str">
        <x:v>Bybit</x:v>
      </x:c>
      <x:c r="E150" t="str">
        <x:v>15m</x:v>
      </x:c>
      <x:c r="F150" t="str">
        <x:v>Short</x:v>
      </x:c>
      <x:c r="G150" s="74" t="n">
        <x:v>142.692921</x:v>
      </x:c>
      <x:c r="H150" s="74" t="n">
        <x:v>143.635129</x:v>
      </x:c>
      <x:c r="I150" s="74" t="n">
        <x:v>144.790358</x:v>
      </x:c>
      <x:c r="J150" s="74" t="n">
        <x:v>137.441297</x:v>
      </x:c>
      <x:c r="K150" s="76" t="n">
        <x:v>300</x:v>
      </x:c>
      <x:c r="L150" s="76" t="n">
        <x:v>2</x:v>
      </x:c>
      <x:c r="M150" s="76" t="n">
        <x:v>0.48</x:v>
      </x:c>
      <x:c r="N150" t="str">
        <x:v>OB retest</x:v>
      </x:c>
      <x:c r="O150" t="str">
        <x:v>Oversized</x:v>
      </x:c>
    </x:row>
    <x:row r="151">
      <x:c r="A151" t="n">
        <x:v>147</x:v>
      </x:c>
      <x:c r="B151" s="72" t="n">
        <x:v>46045.291666666664</x:v>
      </x:c>
      <x:c r="C151" t="str">
        <x:v>BNBUSDT</x:v>
      </x:c>
      <x:c r="D151" t="str">
        <x:v>OKX</x:v>
      </x:c>
      <x:c r="E151" t="str">
        <x:v>5m</x:v>
      </x:c>
      <x:c r="F151" t="str">
        <x:v>Long</x:v>
      </x:c>
      <x:c r="G151" s="74" t="n">
        <x:v>637.351205</x:v>
      </x:c>
      <x:c r="H151" s="74" t="n">
        <x:v>622.938792</x:v>
      </x:c>
      <x:c r="I151" s="74" t="n">
        <x:v>621.707986</x:v>
      </x:c>
      <x:c r="J151" s="74" t="n">
        <x:v>648.037976</x:v>
      </x:c>
      <x:c r="K151" s="76" t="n">
        <x:v>300</x:v>
      </x:c>
      <x:c r="L151" s="76" t="n">
        <x:v>2</x:v>
      </x:c>
      <x:c r="M151" s="76" t="n">
        <x:v>0.48</x:v>
      </x:c>
      <x:c r="N151" t="str">
        <x:v>Liquidity sweep</x:v>
      </x:c>
      <x:c r="O151" t="str">
        <x:v>Ignored funding</x:v>
      </x:c>
    </x:row>
    <x:row r="152">
      <x:c r="A152" t="n">
        <x:v>148</x:v>
      </x:c>
      <x:c r="B152" s="72" t="n">
        <x:v>46168.416666666664</x:v>
      </x:c>
      <x:c r="C152" t="str">
        <x:v>BTCUSDT</x:v>
      </x:c>
      <x:c r="D152" t="str">
        <x:v>Bybit</x:v>
      </x:c>
      <x:c r="E152" t="str">
        <x:v>5m</x:v>
      </x:c>
      <x:c r="F152" t="str">
        <x:v>Long</x:v>
      </x:c>
      <x:c r="G152" s="74" t="n">
        <x:v>70611.395109</x:v>
      </x:c>
      <x:c r="H152" s="74" t="n">
        <x:v>73849.315689</x:v>
      </x:c>
      <x:c r="I152" s="74" t="n">
        <x:v>69175.118832</x:v>
      </x:c>
      <x:c r="J152" s="74" t="n">
        <x:v>72150.203622</x:v>
      </x:c>
      <x:c r="K152" s="76" t="n">
        <x:v>200</x:v>
      </x:c>
      <x:c r="L152" s="76" t="n">
        <x:v>1</x:v>
      </x:c>
      <x:c r="M152" s="76" t="n">
        <x:v>0.16</x:v>
      </x:c>
      <x:c r="N152" t="str">
        <x:v>CVD divergence</x:v>
      </x:c>
      <x:c r="O152" t="str">
        <x:v>Moved SL</x:v>
      </x:c>
    </x:row>
    <x:row r="153">
      <x:c r="A153" t="n">
        <x:v>149</x:v>
      </x:c>
      <x:c r="B153" s="72" t="n">
        <x:v>46079.666666666664</x:v>
      </x:c>
      <x:c r="C153" t="str">
        <x:v>ADAUSDT</x:v>
      </x:c>
      <x:c r="D153" t="str">
        <x:v>OKX</x:v>
      </x:c>
      <x:c r="E153" t="str">
        <x:v>5m</x:v>
      </x:c>
      <x:c r="F153" t="str">
        <x:v>Short</x:v>
      </x:c>
      <x:c r="G153" s="74" t="n">
        <x:v>0.466061</x:v>
      </x:c>
      <x:c r="H153" s="74" t="n">
        <x:v>0.469121</x:v>
      </x:c>
      <x:c r="I153" s="74" t="n">
        <x:v>0.475086</x:v>
      </x:c>
      <x:c r="J153" s="74" t="n">
        <x:v>0.449235</x:v>
      </x:c>
      <x:c r="K153" s="76" t="n">
        <x:v>750</x:v>
      </x:c>
      <x:c r="L153" s="76" t="n">
        <x:v>10</x:v>
      </x:c>
      <x:c r="M153" s="76" t="n">
        <x:v>6</x:v>
      </x:c>
      <x:c r="N153" t="str">
        <x:v>VWAP reclaim</x:v>
      </x:c>
      <x:c r="O153" t="str">
        <x:v>Oversized</x:v>
      </x:c>
    </x:row>
    <x:row r="154">
      <x:c r="A154" t="n">
        <x:v>150</x:v>
      </x:c>
      <x:c r="B154" s="72" t="n">
        <x:v>46057.083333333336</x:v>
      </x:c>
      <x:c r="C154" t="str">
        <x:v>BTCUSDT</x:v>
      </x:c>
      <x:c r="D154" t="str">
        <x:v>Bybit</x:v>
      </x:c>
      <x:c r="E154" t="str">
        <x:v>15m</x:v>
      </x:c>
      <x:c r="F154" t="str">
        <x:v>Long</x:v>
      </x:c>
      <x:c r="G154" s="74" t="n">
        <x:v>64494.6398</x:v>
      </x:c>
      <x:c r="H154" s="74" t="n">
        <x:v>64081.748278</x:v>
      </x:c>
      <x:c r="I154" s="74" t="n">
        <x:v>63032.878956</x:v>
      </x:c>
      <x:c r="J154" s="74" t="n">
        <x:v>67889.838209</x:v>
      </x:c>
      <x:c r="K154" s="76" t="n">
        <x:v>1000</x:v>
      </x:c>
      <x:c r="L154" s="76" t="n">
        <x:v>2</x:v>
      </x:c>
      <x:c r="M154" s="76" t="n">
        <x:v>1.6</x:v>
      </x:c>
      <x:c r="N154" t="str">
        <x:v>Trend continuation</x:v>
      </x:c>
      <x:c r="O154" t="str">
        <x:v>Oversized</x:v>
      </x:c>
    </x:row>
    <x:row r="155">
      <x:c r="A155" t="n">
        <x:v>151</x:v>
      </x:c>
      <x:c r="B155" s="72" t="n">
        <x:v>46133.25</x:v>
      </x:c>
      <x:c r="C155" t="str">
        <x:v>WLFIUSDT</x:v>
      </x:c>
      <x:c r="D155" t="str">
        <x:v>Bybit</x:v>
      </x:c>
      <x:c r="E155" t="str">
        <x:v>5m</x:v>
      </x:c>
      <x:c r="F155" t="str">
        <x:v>Long</x:v>
      </x:c>
      <x:c r="G155" s="74" t="n">
        <x:v>0.057571</x:v>
      </x:c>
      <x:c r="H155" s="74" t="n">
        <x:v>0.057388</x:v>
      </x:c>
      <x:c r="I155" s="74" t="n">
        <x:v>0.056762</x:v>
      </x:c>
      <x:c r="J155" s="74" t="n">
        <x:v>0.058863</x:v>
      </x:c>
      <x:c r="K155" s="76" t="n">
        <x:v>750</x:v>
      </x:c>
      <x:c r="L155" s="76" t="n">
        <x:v>2</x:v>
      </x:c>
      <x:c r="M155" s="76" t="n">
        <x:v>1.2</x:v>
      </x:c>
      <x:c r="N155" t="str">
        <x:v>Liquidity sweep</x:v>
      </x:c>
      <x:c r="O155" t="str">
        <x:v>None</x:v>
      </x:c>
    </x:row>
    <x:row r="156">
      <x:c r="A156" t="n">
        <x:v>152</x:v>
      </x:c>
      <x:c r="B156" s="72" t="n">
        <x:v>46124.125</x:v>
      </x:c>
      <x:c r="C156" t="str">
        <x:v>ADAUSDT</x:v>
      </x:c>
      <x:c r="D156" t="str">
        <x:v>Binance</x:v>
      </x:c>
      <x:c r="E156" t="str">
        <x:v>5m</x:v>
      </x:c>
      <x:c r="F156" t="str">
        <x:v>Short</x:v>
      </x:c>
      <x:c r="G156" s="74" t="n">
        <x:v>0.540556</x:v>
      </x:c>
      <x:c r="H156" s="74" t="n">
        <x:v>0.525593</x:v>
      </x:c>
      <x:c r="I156" s="74" t="n">
        <x:v>0.549594</x:v>
      </x:c>
      <x:c r="J156" s="74" t="n">
        <x:v>0.51909</x:v>
      </x:c>
      <x:c r="K156" s="76" t="n">
        <x:v>100</x:v>
      </x:c>
      <x:c r="L156" s="76" t="n">
        <x:v>3</x:v>
      </x:c>
      <x:c r="M156" s="76" t="n">
        <x:v>0.24</x:v>
      </x:c>
      <x:c r="N156" t="str">
        <x:v>Range deviation</x:v>
      </x:c>
      <x:c r="O156" t="str">
        <x:v>No HTF confirmation</x:v>
      </x:c>
    </x:row>
    <x:row r="157">
      <x:c r="A157" t="n">
        <x:v>153</x:v>
      </x:c>
      <x:c r="B157" s="72" t="n">
        <x:v>46053.416666666664</x:v>
      </x:c>
      <x:c r="C157" t="str">
        <x:v>BNBUSDT</x:v>
      </x:c>
      <x:c r="D157" t="str">
        <x:v>OKX</x:v>
      </x:c>
      <x:c r="E157" t="str">
        <x:v>3m</x:v>
      </x:c>
      <x:c r="F157" t="str">
        <x:v>Short</x:v>
      </x:c>
      <x:c r="G157" s="74" t="n">
        <x:v>514.95915</x:v>
      </x:c>
      <x:c r="H157" s="74" t="n">
        <x:v>525.747042</x:v>
      </x:c>
      <x:c r="I157" s="74" t="n">
        <x:v>527.657598</x:v>
      </x:c>
      <x:c r="J157" s="74" t="n">
        <x:v>487.44925</x:v>
      </x:c>
      <x:c r="K157" s="76" t="n">
        <x:v>250</x:v>
      </x:c>
      <x:c r="L157" s="76" t="n">
        <x:v>2</x:v>
      </x:c>
      <x:c r="M157" s="76" t="n">
        <x:v>0.4</x:v>
      </x:c>
      <x:c r="N157" t="str">
        <x:v>Liquidity sweep</x:v>
      </x:c>
      <x:c r="O157" t="str">
        <x:v>Oversized</x:v>
      </x:c>
    </x:row>
    <x:row r="158">
      <x:c r="A158" t="n">
        <x:v>154</x:v>
      </x:c>
      <x:c r="B158" s="72" t="n">
        <x:v>46155.625</x:v>
      </x:c>
      <x:c r="C158" t="str">
        <x:v>BTCUSDT</x:v>
      </x:c>
      <x:c r="D158" t="str">
        <x:v>Bybit</x:v>
      </x:c>
      <x:c r="E158" t="str">
        <x:v>15m</x:v>
      </x:c>
      <x:c r="F158" t="str">
        <x:v>Short</x:v>
      </x:c>
      <x:c r="G158" s="74" t="n">
        <x:v>72221.431195</x:v>
      </x:c>
      <x:c r="H158" s="74" t="n">
        <x:v>74589.663269</x:v>
      </x:c>
      <x:c r="I158" s="74" t="n">
        <x:v>73763.497627</x:v>
      </x:c>
      <x:c r="J158" s="74" t="n">
        <x:v>71112.963425</x:v>
      </x:c>
      <x:c r="K158" s="76" t="n">
        <x:v>150</x:v>
      </x:c>
      <x:c r="L158" s="76" t="n">
        <x:v>2</x:v>
      </x:c>
      <x:c r="M158" s="76" t="n">
        <x:v>0.24</x:v>
      </x:c>
      <x:c r="N158" t="str">
        <x:v>Liquidity sweep</x:v>
      </x:c>
      <x:c r="O158" t="str">
        <x:v>Moved SL</x:v>
      </x:c>
    </x:row>
    <x:row r="159">
      <x:c r="A159" t="n">
        <x:v>155</x:v>
      </x:c>
      <x:c r="B159" s="72" t="n">
        <x:v>46109.75</x:v>
      </x:c>
      <x:c r="C159" t="str">
        <x:v>WLFIUSDT</x:v>
      </x:c>
      <x:c r="D159" t="str">
        <x:v>OKX</x:v>
      </x:c>
      <x:c r="E159" t="str">
        <x:v>5m</x:v>
      </x:c>
      <x:c r="F159" t="str">
        <x:v>Short</x:v>
      </x:c>
      <x:c r="G159" s="74" t="n">
        <x:v>0.060529</x:v>
      </x:c>
      <x:c r="H159" s="74" t="n">
        <x:v>0.061025</x:v>
      </x:c>
      <x:c r="I159" s="74" t="n">
        <x:v>0.062019</x:v>
      </x:c>
      <x:c r="J159" s="74" t="n">
        <x:v>0.059499</x:v>
      </x:c>
      <x:c r="K159" s="76" t="n">
        <x:v>300</x:v>
      </x:c>
      <x:c r="L159" s="76" t="n">
        <x:v>10</x:v>
      </x:c>
      <x:c r="M159" s="76" t="n">
        <x:v>2.4</x:v>
      </x:c>
      <x:c r="N159" t="str">
        <x:v>Trend continuation</x:v>
      </x:c>
      <x:c r="O159" t="str">
        <x:v>No HTF confirmation</x:v>
      </x:c>
    </x:row>
    <x:row r="160">
      <x:c r="A160" t="n">
        <x:v>156</x:v>
      </x:c>
      <x:c r="B160" s="72" t="n">
        <x:v>46119.75</x:v>
      </x:c>
      <x:c r="C160" t="str">
        <x:v>WLFIUSDT</x:v>
      </x:c>
      <x:c r="D160" t="str">
        <x:v>Binance</x:v>
      </x:c>
      <x:c r="E160" t="str">
        <x:v>15m</x:v>
      </x:c>
      <x:c r="F160" t="str">
        <x:v>Long</x:v>
      </x:c>
      <x:c r="G160" s="74" t="n">
        <x:v>0.057587</x:v>
      </x:c>
      <x:c r="H160" s="74" t="n">
        <x:v>0.055575</x:v>
      </x:c>
      <x:c r="I160" s="74" t="n">
        <x:v>0.056535</x:v>
      </x:c>
      <x:c r="J160" s="74" t="n">
        <x:v>0.058911</x:v>
      </x:c>
      <x:c r="K160" s="76" t="n">
        <x:v>500</x:v>
      </x:c>
      <x:c r="L160" s="76" t="n">
        <x:v>5</x:v>
      </x:c>
      <x:c r="M160" s="76" t="n">
        <x:v>2</x:v>
      </x:c>
      <x:c r="N160" t="str">
        <x:v>VWAP reclaim</x:v>
      </x:c>
      <x:c r="O160" t="str">
        <x:v>None</x:v>
      </x:c>
    </x:row>
    <x:row r="161">
      <x:c r="A161" t="n">
        <x:v>157</x:v>
      </x:c>
      <x:c r="B161" s="72" t="n">
        <x:v>46172.458333333336</x:v>
      </x:c>
      <x:c r="C161" t="str">
        <x:v>ETHUSDT</x:v>
      </x:c>
      <x:c r="D161" t="str">
        <x:v>Binance</x:v>
      </x:c>
      <x:c r="E161" t="str">
        <x:v>1h</x:v>
      </x:c>
      <x:c r="F161" t="str">
        <x:v>Long</x:v>
      </x:c>
      <x:c r="G161" s="74" t="n">
        <x:v>3282.985999</x:v>
      </x:c>
      <x:c r="H161" s="74" t="n">
        <x:v>3523.264975</x:v>
      </x:c>
      <x:c r="I161" s="74" t="n">
        <x:v>3211.171587</x:v>
      </x:c>
      <x:c r="J161" s="74" t="n">
        <x:v>3402.454016</x:v>
      </x:c>
      <x:c r="K161" s="76" t="n">
        <x:v>1000</x:v>
      </x:c>
      <x:c r="L161" s="76" t="n">
        <x:v>3</x:v>
      </x:c>
      <x:c r="M161" s="76" t="n">
        <x:v>2.4</x:v>
      </x:c>
      <x:c r="N161" t="str">
        <x:v>Liquidity sweep</x:v>
      </x:c>
      <x:c r="O161" t="str">
        <x:v>Oversized</x:v>
      </x:c>
    </x:row>
    <x:row r="162">
      <x:c r="A162" t="n">
        <x:v>158</x:v>
      </x:c>
      <x:c r="B162" s="72" t="n">
        <x:v>46061</x:v>
      </x:c>
      <x:c r="C162" t="str">
        <x:v>SOLUSDT</x:v>
      </x:c>
      <x:c r="D162" t="str">
        <x:v>Bybit</x:v>
      </x:c>
      <x:c r="E162" t="str">
        <x:v>3m</x:v>
      </x:c>
      <x:c r="F162" t="str">
        <x:v>Long</x:v>
      </x:c>
      <x:c r="G162" s="74" t="n">
        <x:v>159.199245</x:v>
      </x:c>
      <x:c r="H162" s="74" t="n">
        <x:v>161.495448</x:v>
      </x:c>
      <x:c r="I162" s="74" t="n">
        <x:v>157.72338</x:v>
      </x:c>
      <x:c r="J162" s="74" t="n">
        <x:v>167.269353</x:v>
      </x:c>
      <x:c r="K162" s="76" t="n">
        <x:v>150</x:v>
      </x:c>
      <x:c r="L162" s="76" t="n">
        <x:v>3</x:v>
      </x:c>
      <x:c r="M162" s="76" t="n">
        <x:v>0.36</x:v>
      </x:c>
      <x:c r="N162" t="str">
        <x:v>VWAP reclaim</x:v>
      </x:c>
      <x:c r="O162" t="str">
        <x:v>Late entry</x:v>
      </x:c>
    </x:row>
    <x:row r="163">
      <x:c r="A163" t="n">
        <x:v>159</x:v>
      </x:c>
      <x:c r="B163" s="72" t="n">
        <x:v>46113.958333333336</x:v>
      </x:c>
      <x:c r="C163" t="str">
        <x:v>WLFIUSDT</x:v>
      </x:c>
      <x:c r="D163" t="str">
        <x:v>OKX</x:v>
      </x:c>
      <x:c r="E163" t="str">
        <x:v>5m</x:v>
      </x:c>
      <x:c r="F163" t="str">
        <x:v>Short</x:v>
      </x:c>
      <x:c r="G163" s="74" t="n">
        <x:v>0.05698</x:v>
      </x:c>
      <x:c r="H163" s="74" t="n">
        <x:v>0.058284</x:v>
      </x:c>
      <x:c r="I163" s="74" t="n">
        <x:v>0.058266</x:v>
      </x:c>
      <x:c r="J163" s="74" t="n">
        <x:v>0.054307</x:v>
      </x:c>
      <x:c r="K163" s="76" t="n">
        <x:v>1000</x:v>
      </x:c>
      <x:c r="L163" s="76" t="n">
        <x:v>10</x:v>
      </x:c>
      <x:c r="M163" s="76" t="n">
        <x:v>8</x:v>
      </x:c>
      <x:c r="N163" t="str">
        <x:v>Trend continuation</x:v>
      </x:c>
      <x:c r="O163" t="str">
        <x:v>None</x:v>
      </x:c>
    </x:row>
    <x:row r="164">
      <x:c r="A164" t="n">
        <x:v>160</x:v>
      </x:c>
      <x:c r="B164" s="72" t="n">
        <x:v>46102.041666666664</x:v>
      </x:c>
      <x:c r="C164" t="str">
        <x:v>BTCUSDT</x:v>
      </x:c>
      <x:c r="D164" t="str">
        <x:v>Bybit</x:v>
      </x:c>
      <x:c r="E164" t="str">
        <x:v>5m</x:v>
      </x:c>
      <x:c r="F164" t="str">
        <x:v>Short</x:v>
      </x:c>
      <x:c r="G164" s="74" t="n">
        <x:v>66637.836457</x:v>
      </x:c>
      <x:c r="H164" s="74" t="n">
        <x:v>65829.849363</x:v>
      </x:c>
      <x:c r="I164" s="74" t="n">
        <x:v>67359.05128</x:v>
      </x:c>
      <x:c r="J164" s="74" t="n">
        <x:v>64114.123209</x:v>
      </x:c>
      <x:c r="K164" s="76" t="n">
        <x:v>250</x:v>
      </x:c>
      <x:c r="L164" s="76" t="n">
        <x:v>5</x:v>
      </x:c>
      <x:c r="M164" s="76" t="n">
        <x:v>1</x:v>
      </x:c>
      <x:c r="N164" t="str">
        <x:v>Range deviation</x:v>
      </x:c>
      <x:c r="O164" t="str">
        <x:v>Moved SL</x:v>
      </x:c>
    </x:row>
    <x:row r="165">
      <x:c r="A165" t="n">
        <x:v>161</x:v>
      </x:c>
      <x:c r="B165" s="72" t="n">
        <x:v>46046.541666666664</x:v>
      </x:c>
      <x:c r="C165" t="str">
        <x:v>FARTCOINUSDT</x:v>
      </x:c>
      <x:c r="D165" t="str">
        <x:v>OKX</x:v>
      </x:c>
      <x:c r="E165" t="str">
        <x:v>5m</x:v>
      </x:c>
      <x:c r="F165" t="str">
        <x:v>Short</x:v>
      </x:c>
      <x:c r="G165" s="74" t="n">
        <x:v>0.143486</x:v>
      </x:c>
      <x:c r="H165" s="74" t="n">
        <x:v>0.140686</x:v>
      </x:c>
      <x:c r="I165" s="74" t="n">
        <x:v>0.145316</x:v>
      </x:c>
      <x:c r="J165" s="74" t="n">
        <x:v>0.13916</x:v>
      </x:c>
      <x:c r="K165" s="76" t="n">
        <x:v>750</x:v>
      </x:c>
      <x:c r="L165" s="76" t="n">
        <x:v>1</x:v>
      </x:c>
      <x:c r="M165" s="76" t="n">
        <x:v>0.6</x:v>
      </x:c>
      <x:c r="N165" t="str">
        <x:v>Liquidity sweep</x:v>
      </x:c>
      <x:c r="O165" t="str">
        <x:v>Moved SL</x:v>
      </x:c>
    </x:row>
    <x:row r="166">
      <x:c r="A166" t="n">
        <x:v>162</x:v>
      </x:c>
      <x:c r="B166" s="72" t="n">
        <x:v>46058.125</x:v>
      </x:c>
      <x:c r="C166" t="str">
        <x:v>BTCUSDT</x:v>
      </x:c>
      <x:c r="D166" t="str">
        <x:v>Bybit</x:v>
      </x:c>
      <x:c r="E166" t="str">
        <x:v>15m</x:v>
      </x:c>
      <x:c r="F166" t="str">
        <x:v>Long</x:v>
      </x:c>
      <x:c r="G166" s="74" t="n">
        <x:v>69770.77718</x:v>
      </x:c>
      <x:c r="H166" s="74" t="n">
        <x:v>65709.912167</x:v>
      </x:c>
      <x:c r="I166" s="74" t="n">
        <x:v>68104.916296</x:v>
      </x:c>
      <x:c r="J166" s="74" t="n">
        <x:v>73329.197059</x:v>
      </x:c>
      <x:c r="K166" s="76" t="n">
        <x:v>500</x:v>
      </x:c>
      <x:c r="L166" s="76" t="n">
        <x:v>5</x:v>
      </x:c>
      <x:c r="M166" s="76" t="n">
        <x:v>2</x:v>
      </x:c>
      <x:c r="N166" t="str">
        <x:v>CVD divergence</x:v>
      </x:c>
      <x:c r="O166" t="str">
        <x:v>Oversized</x:v>
      </x:c>
    </x:row>
    <x:row r="167">
      <x:c r="A167" t="n">
        <x:v>163</x:v>
      </x:c>
      <x:c r="B167" s="72" t="n">
        <x:v>46140.041666666664</x:v>
      </x:c>
      <x:c r="C167" t="str">
        <x:v>XRPUSDT</x:v>
      </x:c>
      <x:c r="D167" t="str">
        <x:v>Bybit</x:v>
      </x:c>
      <x:c r="E167" t="str">
        <x:v>15m</x:v>
      </x:c>
      <x:c r="F167" t="str">
        <x:v>Short</x:v>
      </x:c>
      <x:c r="G167" s="74" t="n">
        <x:v>0.532854</x:v>
      </x:c>
      <x:c r="H167" s="74" t="n">
        <x:v>0.534703</x:v>
      </x:c>
      <x:c r="I167" s="74" t="n">
        <x:v>0.54443</x:v>
      </x:c>
      <x:c r="J167" s="74" t="n">
        <x:v>0.509717</x:v>
      </x:c>
      <x:c r="K167" s="76" t="n">
        <x:v>1000</x:v>
      </x:c>
      <x:c r="L167" s="76" t="n">
        <x:v>5</x:v>
      </x:c>
      <x:c r="M167" s="76" t="n">
        <x:v>4</x:v>
      </x:c>
      <x:c r="N167" t="str">
        <x:v>VWAP reclaim</x:v>
      </x:c>
      <x:c r="O167" t="str">
        <x:v>Ignored funding</x:v>
      </x:c>
    </x:row>
    <x:row r="168">
      <x:c r="A168" t="n">
        <x:v>164</x:v>
      </x:c>
      <x:c r="B168" s="72" t="n">
        <x:v>46024.958333333336</x:v>
      </x:c>
      <x:c r="C168" t="str">
        <x:v>WLFIUSDT</x:v>
      </x:c>
      <x:c r="D168" t="str">
        <x:v>Binance</x:v>
      </x:c>
      <x:c r="E168" t="str">
        <x:v>5m</x:v>
      </x:c>
      <x:c r="F168" t="str">
        <x:v>Long</x:v>
      </x:c>
      <x:c r="G168" s="74" t="n">
        <x:v>0.059087</x:v>
      </x:c>
      <x:c r="H168" s="74" t="n">
        <x:v>0.057881</x:v>
      </x:c>
      <x:c r="I168" s="74" t="n">
        <x:v>0.057924</x:v>
      </x:c>
      <x:c r="J168" s="74" t="n">
        <x:v>0.06121</x:v>
      </x:c>
      <x:c r="K168" s="76" t="n">
        <x:v>250</x:v>
      </x:c>
      <x:c r="L168" s="76" t="n">
        <x:v>10</x:v>
      </x:c>
      <x:c r="M168" s="76" t="n">
        <x:v>2</x:v>
      </x:c>
      <x:c r="N168" t="str">
        <x:v>Liquidity sweep</x:v>
      </x:c>
      <x:c r="O168" t="str">
        <x:v>Ignored funding</x:v>
      </x:c>
    </x:row>
    <x:row r="169">
      <x:c r="A169" t="n">
        <x:v>165</x:v>
      </x:c>
      <x:c r="B169" s="72" t="n">
        <x:v>46100.375</x:v>
      </x:c>
      <x:c r="C169" t="str">
        <x:v>WLFIUSDT</x:v>
      </x:c>
      <x:c r="D169" t="str">
        <x:v>OKX</x:v>
      </x:c>
      <x:c r="E169" t="str">
        <x:v>15m</x:v>
      </x:c>
      <x:c r="F169" t="str">
        <x:v>Long</x:v>
      </x:c>
      <x:c r="G169" s="74" t="n">
        <x:v>0.054674</x:v>
      </x:c>
      <x:c r="H169" s="74" t="n">
        <x:v>0.053891</x:v>
      </x:c>
      <x:c r="I169" s="74" t="n">
        <x:v>0.053573</x:v>
      </x:c>
      <x:c r="J169" s="74" t="n">
        <x:v>0.057632</x:v>
      </x:c>
      <x:c r="K169" s="76" t="n">
        <x:v>150</x:v>
      </x:c>
      <x:c r="L169" s="76" t="n">
        <x:v>1</x:v>
      </x:c>
      <x:c r="M169" s="76" t="n">
        <x:v>0.12</x:v>
      </x:c>
      <x:c r="N169" t="str">
        <x:v>OB retest</x:v>
      </x:c>
      <x:c r="O169" t="str">
        <x:v>None</x:v>
      </x:c>
    </x:row>
    <x:row r="170">
      <x:c r="A170" t="n">
        <x:v>166</x:v>
      </x:c>
      <x:c r="B170" s="72" t="n">
        <x:v>46065.875</x:v>
      </x:c>
      <x:c r="C170" t="str">
        <x:v>BNBUSDT</x:v>
      </x:c>
      <x:c r="D170" t="str">
        <x:v>Bybit</x:v>
      </x:c>
      <x:c r="E170" t="str">
        <x:v>15m</x:v>
      </x:c>
      <x:c r="F170" t="str">
        <x:v>Short</x:v>
      </x:c>
      <x:c r="G170" s="74" t="n">
        <x:v>550.004158</x:v>
      </x:c>
      <x:c r="H170" s="74" t="n">
        <x:v>548.702705</x:v>
      </x:c>
      <x:c r="I170" s="74" t="n">
        <x:v>563.204449</x:v>
      </x:c>
      <x:c r="J170" s="74" t="n">
        <x:v>523.608942</x:v>
      </x:c>
      <x:c r="K170" s="76" t="n">
        <x:v>500</x:v>
      </x:c>
      <x:c r="L170" s="76" t="n">
        <x:v>3</x:v>
      </x:c>
      <x:c r="M170" s="76" t="n">
        <x:v>1.2</x:v>
      </x:c>
      <x:c r="N170" t="str">
        <x:v>OB retest</x:v>
      </x:c>
      <x:c r="O170" t="str">
        <x:v>Ignored funding</x:v>
      </x:c>
    </x:row>
    <x:row r="171">
      <x:c r="A171" t="n">
        <x:v>167</x:v>
      </x:c>
      <x:c r="B171" s="72" t="n">
        <x:v>46105.791666666664</x:v>
      </x:c>
      <x:c r="C171" t="str">
        <x:v>BTCUSDT</x:v>
      </x:c>
      <x:c r="D171" t="str">
        <x:v>Binance</x:v>
      </x:c>
      <x:c r="E171" t="str">
        <x:v>1h</x:v>
      </x:c>
      <x:c r="F171" t="str">
        <x:v>Long</x:v>
      </x:c>
      <x:c r="G171" s="74" t="n">
        <x:v>69477.669791</x:v>
      </x:c>
      <x:c r="H171" s="74" t="n">
        <x:v>67694.826666</x:v>
      </x:c>
      <x:c r="I171" s="74" t="n">
        <x:v>68181.219787</x:v>
      </x:c>
      <x:c r="J171" s="74" t="n">
        <x:v>72184.664967</x:v>
      </x:c>
      <x:c r="K171" s="76" t="n">
        <x:v>150</x:v>
      </x:c>
      <x:c r="L171" s="76" t="n">
        <x:v>1</x:v>
      </x:c>
      <x:c r="M171" s="76" t="n">
        <x:v>0.12</x:v>
      </x:c>
      <x:c r="N171" t="str">
        <x:v>VWAP reclaim</x:v>
      </x:c>
      <x:c r="O171" t="str">
        <x:v>Oversized</x:v>
      </x:c>
    </x:row>
    <x:row r="172">
      <x:c r="A172" t="n">
        <x:v>168</x:v>
      </x:c>
      <x:c r="B172" s="72" t="n">
        <x:v>46061.458333333336</x:v>
      </x:c>
      <x:c r="C172" t="str">
        <x:v>ETHUSDT</x:v>
      </x:c>
      <x:c r="D172" t="str">
        <x:v>Bybit</x:v>
      </x:c>
      <x:c r="E172" t="str">
        <x:v>1h</x:v>
      </x:c>
      <x:c r="F172" t="str">
        <x:v>Long</x:v>
      </x:c>
      <x:c r="G172" s="74" t="n">
        <x:v>3362.627932</x:v>
      </x:c>
      <x:c r="H172" s="74" t="n">
        <x:v>3451.621077</x:v>
      </x:c>
      <x:c r="I172" s="74" t="n">
        <x:v>3326.253229</x:v>
      </x:c>
      <x:c r="J172" s="74" t="n">
        <x:v>3498.161693</x:v>
      </x:c>
      <x:c r="K172" s="76" t="n">
        <x:v>1000</x:v>
      </x:c>
      <x:c r="L172" s="76" t="n">
        <x:v>10</x:v>
      </x:c>
      <x:c r="M172" s="76" t="n">
        <x:v>8</x:v>
      </x:c>
      <x:c r="N172" t="str">
        <x:v>Trend continuation</x:v>
      </x:c>
      <x:c r="O172" t="str">
        <x:v>Ignored funding</x:v>
      </x:c>
    </x:row>
    <x:row r="173">
      <x:c r="A173" t="n">
        <x:v>169</x:v>
      </x:c>
      <x:c r="B173" s="72" t="n">
        <x:v>46042.708333333336</x:v>
      </x:c>
      <x:c r="C173" t="str">
        <x:v>BNBUSDT</x:v>
      </x:c>
      <x:c r="D173" t="str">
        <x:v>Binance</x:v>
      </x:c>
      <x:c r="E173" t="str">
        <x:v>15m</x:v>
      </x:c>
      <x:c r="F173" t="str">
        <x:v>Long</x:v>
      </x:c>
      <x:c r="G173" s="74" t="n">
        <x:v>609.002935</x:v>
      </x:c>
      <x:c r="H173" s="74" t="n">
        <x:v>585.564798</x:v>
      </x:c>
      <x:c r="I173" s="74" t="n">
        <x:v>596.071128</x:v>
      </x:c>
      <x:c r="J173" s="74" t="n">
        <x:v>636.762709</x:v>
      </x:c>
      <x:c r="K173" s="76" t="n">
        <x:v>500</x:v>
      </x:c>
      <x:c r="L173" s="76" t="n">
        <x:v>10</x:v>
      </x:c>
      <x:c r="M173" s="76" t="n">
        <x:v>4</x:v>
      </x:c>
      <x:c r="N173" t="str">
        <x:v>VWAP reclaim</x:v>
      </x:c>
      <x:c r="O173" t="str">
        <x:v>None</x:v>
      </x:c>
    </x:row>
    <x:row r="174">
      <x:c r="A174" t="n">
        <x:v>170</x:v>
      </x:c>
      <x:c r="B174" s="72" t="n">
        <x:v>46155.375</x:v>
      </x:c>
      <x:c r="C174" t="str">
        <x:v>FARTCOINUSDT</x:v>
      </x:c>
      <x:c r="D174" t="str">
        <x:v>Bybit</x:v>
      </x:c>
      <x:c r="E174" t="str">
        <x:v>1h</x:v>
      </x:c>
      <x:c r="F174" t="str">
        <x:v>Short</x:v>
      </x:c>
      <x:c r="G174" s="74" t="n">
        <x:v>0.151804</x:v>
      </x:c>
      <x:c r="H174" s="74" t="n">
        <x:v>0.154616</x:v>
      </x:c>
      <x:c r="I174" s="74" t="n">
        <x:v>0.154435</x:v>
      </x:c>
      <x:c r="J174" s="74" t="n">
        <x:v>0.145795</x:v>
      </x:c>
      <x:c r="K174" s="76" t="n">
        <x:v>150</x:v>
      </x:c>
      <x:c r="L174" s="76" t="n">
        <x:v>5</x:v>
      </x:c>
      <x:c r="M174" s="76" t="n">
        <x:v>0.6</x:v>
      </x:c>
      <x:c r="N174" t="str">
        <x:v>OB retest</x:v>
      </x:c>
      <x:c r="O174" t="str">
        <x:v>Ignored funding</x:v>
      </x:c>
    </x:row>
    <x:row r="175">
      <x:c r="A175" t="n">
        <x:v>171</x:v>
      </x:c>
      <x:c r="B175" s="72" t="n">
        <x:v>46054.916666666664</x:v>
      </x:c>
      <x:c r="C175" t="str">
        <x:v>FARTCOINUSDT</x:v>
      </x:c>
      <x:c r="D175" t="str">
        <x:v>OKX</x:v>
      </x:c>
      <x:c r="E175" t="str">
        <x:v>5m</x:v>
      </x:c>
      <x:c r="F175" t="str">
        <x:v>Long</x:v>
      </x:c>
      <x:c r="G175" s="74" t="n">
        <x:v>0.148483</x:v>
      </x:c>
      <x:c r="H175" s="74" t="n">
        <x:v>0.14568</x:v>
      </x:c>
      <x:c r="I175" s="74" t="n">
        <x:v>0.147135</x:v>
      </x:c>
      <x:c r="J175" s="74" t="n">
        <x:v>0.155648</x:v>
      </x:c>
      <x:c r="K175" s="76" t="n">
        <x:v>200</x:v>
      </x:c>
      <x:c r="L175" s="76" t="n">
        <x:v>1</x:v>
      </x:c>
      <x:c r="M175" s="76" t="n">
        <x:v>0.16</x:v>
      </x:c>
      <x:c r="N175" t="str">
        <x:v>VWAP reclaim</x:v>
      </x:c>
      <x:c r="O175" t="str">
        <x:v>Ignored funding</x:v>
      </x:c>
    </x:row>
    <x:row r="176">
      <x:c r="A176" t="n">
        <x:v>172</x:v>
      </x:c>
      <x:c r="B176" s="72" t="n">
        <x:v>46114.208333333336</x:v>
      </x:c>
      <x:c r="C176" t="str">
        <x:v>SOLUSDT</x:v>
      </x:c>
      <x:c r="D176" t="str">
        <x:v>OKX</x:v>
      </x:c>
      <x:c r="E176" t="str">
        <x:v>3m</x:v>
      </x:c>
      <x:c r="F176" t="str">
        <x:v>Short</x:v>
      </x:c>
      <x:c r="G176" s="74" t="n">
        <x:v>134.403373</x:v>
      </x:c>
      <x:c r="H176" s="74" t="n">
        <x:v>131.340062</x:v>
      </x:c>
      <x:c r="I176" s="74" t="n">
        <x:v>136.758406</x:v>
      </x:c>
      <x:c r="J176" s="74" t="n">
        <x:v>131.455482</x:v>
      </x:c>
      <x:c r="K176" s="76" t="n">
        <x:v>1000</x:v>
      </x:c>
      <x:c r="L176" s="76" t="n">
        <x:v>3</x:v>
      </x:c>
      <x:c r="M176" s="76" t="n">
        <x:v>2.4</x:v>
      </x:c>
      <x:c r="N176" t="str">
        <x:v>CVD divergence</x:v>
      </x:c>
      <x:c r="O176" t="str">
        <x:v>No HTF confirmation</x:v>
      </x:c>
    </x:row>
    <x:row r="177">
      <x:c r="A177" t="n">
        <x:v>173</x:v>
      </x:c>
      <x:c r="B177" s="72" t="n">
        <x:v>46028.083333333336</x:v>
      </x:c>
      <x:c r="C177" t="str">
        <x:v>ETHUSDT</x:v>
      </x:c>
      <x:c r="D177" t="str">
        <x:v>Binance</x:v>
      </x:c>
      <x:c r="E177" t="str">
        <x:v>15m</x:v>
      </x:c>
      <x:c r="F177" t="str">
        <x:v>Short</x:v>
      </x:c>
      <x:c r="G177" s="74" t="n">
        <x:v>3893.639387</x:v>
      </x:c>
      <x:c r="H177" s="74" t="n">
        <x:v>3965.919897</x:v>
      </x:c>
      <x:c r="I177" s="74" t="n">
        <x:v>3940.753299</x:v>
      </x:c>
      <x:c r="J177" s="74" t="n">
        <x:v>3820.248039</x:v>
      </x:c>
      <x:c r="K177" s="76" t="n">
        <x:v>1000</x:v>
      </x:c>
      <x:c r="L177" s="76" t="n">
        <x:v>5</x:v>
      </x:c>
      <x:c r="M177" s="76" t="n">
        <x:v>4</x:v>
      </x:c>
      <x:c r="N177" t="str">
        <x:v>Trend continuation</x:v>
      </x:c>
      <x:c r="O177" t="str">
        <x:v>Oversized</x:v>
      </x:c>
    </x:row>
    <x:row r="178">
      <x:c r="A178" t="n">
        <x:v>174</x:v>
      </x:c>
      <x:c r="B178" s="72" t="n">
        <x:v>46064.625</x:v>
      </x:c>
      <x:c r="C178" t="str">
        <x:v>FARTCOINUSDT</x:v>
      </x:c>
      <x:c r="D178" t="str">
        <x:v>OKX</x:v>
      </x:c>
      <x:c r="E178" t="str">
        <x:v>15m</x:v>
      </x:c>
      <x:c r="F178" t="str">
        <x:v>Short</x:v>
      </x:c>
      <x:c r="G178" s="74" t="n">
        <x:v>0.180046</x:v>
      </x:c>
      <x:c r="H178" s="74" t="n">
        <x:v>0.173827</x:v>
      </x:c>
      <x:c r="I178" s="74" t="n">
        <x:v>0.183462</x:v>
      </x:c>
      <x:c r="J178" s="74" t="n">
        <x:v>0.172877</x:v>
      </x:c>
      <x:c r="K178" s="76" t="n">
        <x:v>300</x:v>
      </x:c>
      <x:c r="L178" s="76" t="n">
        <x:v>1</x:v>
      </x:c>
      <x:c r="M178" s="76" t="n">
        <x:v>0.24</x:v>
      </x:c>
      <x:c r="N178" t="str">
        <x:v>CVD divergence</x:v>
      </x:c>
      <x:c r="O178" t="str">
        <x:v>Ignored funding</x:v>
      </x:c>
    </x:row>
    <x:row r="179">
      <x:c r="A179" t="n">
        <x:v>175</x:v>
      </x:c>
      <x:c r="B179" s="72" t="n">
        <x:v>46046.208333333336</x:v>
      </x:c>
      <x:c r="C179" t="str">
        <x:v>XRPUSDT</x:v>
      </x:c>
      <x:c r="D179" t="str">
        <x:v>Binance</x:v>
      </x:c>
      <x:c r="E179" t="str">
        <x:v>1h</x:v>
      </x:c>
      <x:c r="F179" t="str">
        <x:v>Long</x:v>
      </x:c>
      <x:c r="G179" s="74" t="n">
        <x:v>0.462902</x:v>
      </x:c>
      <x:c r="H179" s="74" t="n">
        <x:v>0.473893</x:v>
      </x:c>
      <x:c r="I179" s="74" t="n">
        <x:v>0.454457</x:v>
      </x:c>
      <x:c r="J179" s="74" t="n">
        <x:v>0.479435</x:v>
      </x:c>
      <x:c r="K179" s="76" t="n">
        <x:v>250</x:v>
      </x:c>
      <x:c r="L179" s="76" t="n">
        <x:v>2</x:v>
      </x:c>
      <x:c r="M179" s="76" t="n">
        <x:v>0.4</x:v>
      </x:c>
      <x:c r="N179" t="str">
        <x:v>Range deviation</x:v>
      </x:c>
      <x:c r="O179" t="str">
        <x:v>None</x:v>
      </x:c>
    </x:row>
    <x:row r="180">
      <x:c r="A180" t="n">
        <x:v>176</x:v>
      </x:c>
      <x:c r="B180" s="72" t="n">
        <x:v>46171.75</x:v>
      </x:c>
      <x:c r="C180" t="str">
        <x:v>ETHUSDT</x:v>
      </x:c>
      <x:c r="D180" t="str">
        <x:v>OKX</x:v>
      </x:c>
      <x:c r="E180" t="str">
        <x:v>1h</x:v>
      </x:c>
      <x:c r="F180" t="str">
        <x:v>Long</x:v>
      </x:c>
      <x:c r="G180" s="74" t="n">
        <x:v>3317.318618</x:v>
      </x:c>
      <x:c r="H180" s="74" t="n">
        <x:v>3301.420609</x:v>
      </x:c>
      <x:c r="I180" s="74" t="n">
        <x:v>3235.870406</x:v>
      </x:c>
      <x:c r="J180" s="74" t="n">
        <x:v>3412.502068</x:v>
      </x:c>
      <x:c r="K180" s="76" t="n">
        <x:v>250</x:v>
      </x:c>
      <x:c r="L180" s="76" t="n">
        <x:v>1</x:v>
      </x:c>
      <x:c r="M180" s="76" t="n">
        <x:v>0.2</x:v>
      </x:c>
      <x:c r="N180" t="str">
        <x:v>OB retest</x:v>
      </x:c>
      <x:c r="O180" t="str">
        <x:v>No HTF confirmation</x:v>
      </x:c>
    </x:row>
    <x:row r="181">
      <x:c r="A181" t="n">
        <x:v>177</x:v>
      </x:c>
      <x:c r="B181" s="72" t="n">
        <x:v>46129.333333333336</x:v>
      </x:c>
      <x:c r="C181" t="str">
        <x:v>XRPUSDT</x:v>
      </x:c>
      <x:c r="D181" t="str">
        <x:v>Bybit</x:v>
      </x:c>
      <x:c r="E181" t="str">
        <x:v>3m</x:v>
      </x:c>
      <x:c r="F181" t="str">
        <x:v>Short</x:v>
      </x:c>
      <x:c r="G181" s="74" t="n">
        <x:v>0.451912</x:v>
      </x:c>
      <x:c r="H181" s="74" t="n">
        <x:v>0.47586</x:v>
      </x:c>
      <x:c r="I181" s="74" t="n">
        <x:v>0.463004</x:v>
      </x:c>
      <x:c r="J181" s="74" t="n">
        <x:v>0.43887</x:v>
      </x:c>
      <x:c r="K181" s="76" t="n">
        <x:v>1000</x:v>
      </x:c>
      <x:c r="L181" s="76" t="n">
        <x:v>5</x:v>
      </x:c>
      <x:c r="M181" s="76" t="n">
        <x:v>4</x:v>
      </x:c>
      <x:c r="N181" t="str">
        <x:v>OB retest</x:v>
      </x:c>
      <x:c r="O181" t="str">
        <x:v>Late entry</x:v>
      </x:c>
    </x:row>
    <x:row r="182">
      <x:c r="A182" t="n">
        <x:v>178</x:v>
      </x:c>
      <x:c r="B182" s="72" t="n">
        <x:v>46122.416666666664</x:v>
      </x:c>
      <x:c r="C182" t="str">
        <x:v>BTCUSDT</x:v>
      </x:c>
      <x:c r="D182" t="str">
        <x:v>Bybit</x:v>
      </x:c>
      <x:c r="E182" t="str">
        <x:v>15m</x:v>
      </x:c>
      <x:c r="F182" t="str">
        <x:v>Long</x:v>
      </x:c>
      <x:c r="G182" s="74" t="n">
        <x:v>65750.117375</x:v>
      </x:c>
      <x:c r="H182" s="74" t="n">
        <x:v>65601.317889</x:v>
      </x:c>
      <x:c r="I182" s="74" t="n">
        <x:v>64571.30364</x:v>
      </x:c>
      <x:c r="J182" s="74" t="n">
        <x:v>66773.456723</x:v>
      </x:c>
      <x:c r="K182" s="76" t="n">
        <x:v>500</x:v>
      </x:c>
      <x:c r="L182" s="76" t="n">
        <x:v>2</x:v>
      </x:c>
      <x:c r="M182" s="76" t="n">
        <x:v>0.8</x:v>
      </x:c>
      <x:c r="N182" t="str">
        <x:v>VWAP reclaim</x:v>
      </x:c>
      <x:c r="O182" t="str">
        <x:v>None</x:v>
      </x:c>
    </x:row>
    <x:row r="183">
      <x:c r="A183" t="n">
        <x:v>179</x:v>
      </x:c>
      <x:c r="B183" s="72" t="n">
        <x:v>46112.291666666664</x:v>
      </x:c>
      <x:c r="C183" t="str">
        <x:v>SOLUSDT</x:v>
      </x:c>
      <x:c r="D183" t="str">
        <x:v>OKX</x:v>
      </x:c>
      <x:c r="E183" t="str">
        <x:v>1h</x:v>
      </x:c>
      <x:c r="F183" t="str">
        <x:v>Long</x:v>
      </x:c>
      <x:c r="G183" s="74" t="n">
        <x:v>139.677851</x:v>
      </x:c>
      <x:c r="H183" s="74" t="n">
        <x:v>138.982301</x:v>
      </x:c>
      <x:c r="I183" s="74" t="n">
        <x:v>138.30119</x:v>
      </x:c>
      <x:c r="J183" s="74" t="n">
        <x:v>146.870583</x:v>
      </x:c>
      <x:c r="K183" s="76" t="n">
        <x:v>300</x:v>
      </x:c>
      <x:c r="L183" s="76" t="n">
        <x:v>1</x:v>
      </x:c>
      <x:c r="M183" s="76" t="n">
        <x:v>0.24</x:v>
      </x:c>
      <x:c r="N183" t="str">
        <x:v>OB retest</x:v>
      </x:c>
      <x:c r="O183" t="str">
        <x:v>Late entry</x:v>
      </x:c>
    </x:row>
    <x:row r="184">
      <x:c r="A184" t="n">
        <x:v>180</x:v>
      </x:c>
      <x:c r="B184" s="72" t="n">
        <x:v>46168.791666666664</x:v>
      </x:c>
      <x:c r="C184" t="str">
        <x:v>BNBUSDT</x:v>
      </x:c>
      <x:c r="D184" t="str">
        <x:v>Bybit</x:v>
      </x:c>
      <x:c r="E184" t="str">
        <x:v>15m</x:v>
      </x:c>
      <x:c r="F184" t="str">
        <x:v>Long</x:v>
      </x:c>
      <x:c r="G184" s="74" t="n">
        <x:v>619.347425</x:v>
      </x:c>
      <x:c r="H184" s="74" t="n">
        <x:v>639.307789</x:v>
      </x:c>
      <x:c r="I184" s="74" t="n">
        <x:v>603.910123</x:v>
      </x:c>
      <x:c r="J184" s="74" t="n">
        <x:v>653.156667</x:v>
      </x:c>
      <x:c r="K184" s="76" t="n">
        <x:v>150</x:v>
      </x:c>
      <x:c r="L184" s="76" t="n">
        <x:v>5</x:v>
      </x:c>
      <x:c r="M184" s="76" t="n">
        <x:v>0.6</x:v>
      </x:c>
      <x:c r="N184" t="str">
        <x:v>OB retest</x:v>
      </x:c>
      <x:c r="O184" t="str">
        <x:v>Ignored funding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13314cfedc2742f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16" hidden="0" customWidth="1"/>
    <x:col min="4" max="4" width="12" hidden="0" customWidth="1"/>
    <x:col min="5" max="5" width="8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0" hidden="0" customWidth="1"/>
    <x:col min="13" max="13" width="10" hidden="0" customWidth="1"/>
    <x:col min="14" max="14" width="18" hidden="0" customWidth="1"/>
    <x:col min="15" max="15" width="22" hidden="0" customWidth="1"/>
    <x:col min="16" max="16" width="12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2" hidden="0" customWidth="1"/>
    <x:col min="22" max="22" width="14" hidden="0" customWidth="1"/>
  </x:cols>
  <x:sheetData>
    <x:row r="1" ht="28" customHeight="1">
      <x:c r="A1" s="5" t="str">
        <x:v>Case 3 — Calculated Trading Journal</x:v>
      </x:c>
    </x:row>
    <x:row r="2" ht="34" customHeight="1">
      <x:c r="A2" s="12" t="str">
        <x:v>Formula-driven PnL, PnL %, R/R, result and cumulative equity curve.</x:v>
      </x:c>
    </x:row>
    <x:row r="4">
      <x:c r="A4" s="32" t="str">
        <x:v>Trade #</x:v>
      </x:c>
      <x:c r="B4" s="32" t="str">
        <x:v>Date</x:v>
      </x:c>
      <x:c r="C4" s="32" t="str">
        <x:v>Symbol</x:v>
      </x:c>
      <x:c r="D4" s="32" t="str">
        <x:v>Exchange</x:v>
      </x:c>
      <x:c r="E4" s="32" t="str">
        <x:v>TF</x:v>
      </x:c>
      <x:c r="F4" s="32" t="str">
        <x:v>Direction</x:v>
      </x:c>
      <x:c r="G4" s="32" t="str">
        <x:v>Entry</x:v>
      </x:c>
      <x:c r="H4" s="32" t="str">
        <x:v>Exit</x:v>
      </x:c>
      <x:c r="I4" s="32" t="str">
        <x:v>Stop Loss</x:v>
      </x:c>
      <x:c r="J4" s="32" t="str">
        <x:v>Take Profit</x:v>
      </x:c>
      <x:c r="K4" s="32" t="str">
        <x:v>Size USDT</x:v>
      </x:c>
      <x:c r="L4" s="32" t="str">
        <x:v>Leverage</x:v>
      </x:c>
      <x:c r="M4" s="32" t="str">
        <x:v>Fees</x:v>
      </x:c>
      <x:c r="N4" s="32" t="str">
        <x:v>Setup</x:v>
      </x:c>
      <x:c r="O4" s="32" t="str">
        <x:v>Mistake</x:v>
      </x:c>
      <x:c r="P4" s="32" t="str">
        <x:v>PnL USDT</x:v>
      </x:c>
      <x:c r="Q4" s="32" t="str">
        <x:v>PnL %</x:v>
      </x:c>
      <x:c r="R4" s="32" t="str">
        <x:v>Risk %</x:v>
      </x:c>
      <x:c r="S4" s="32" t="str">
        <x:v>Reward %</x:v>
      </x:c>
      <x:c r="T4" s="32" t="str">
        <x:v>R multiple</x:v>
      </x:c>
      <x:c r="U4" s="32" t="str">
        <x:v>Result</x:v>
      </x:c>
      <x:c r="V4" s="32" t="str">
        <x:v>Equity Curve</x:v>
      </x:c>
    </x:row>
    <x:row r="5">
      <x:c r="A5" t="n">
        <x:f>Trading_Raw!A5</x:f>
        <x:v>1</x:v>
      </x:c>
      <x:c r="B5" s="72" t="n">
        <x:f>Trading_Raw!B5</x:f>
        <x:v>46034.875</x:v>
      </x:c>
      <x:c r="C5" t="str">
        <x:f>Trading_Raw!C5</x:f>
        <x:v>XRPUSDT</x:v>
      </x:c>
      <x:c r="D5" t="str">
        <x:f>Trading_Raw!D5</x:f>
        <x:v>Bybit</x:v>
      </x:c>
      <x:c r="E5" t="str">
        <x:f>Trading_Raw!E5</x:f>
        <x:v>1h</x:v>
      </x:c>
      <x:c r="F5" t="str">
        <x:f>Trading_Raw!F5</x:f>
        <x:v>Long</x:v>
      </x:c>
      <x:c r="G5" t="n">
        <x:f>Trading_Raw!G5</x:f>
        <x:v>0.460251</x:v>
      </x:c>
      <x:c r="H5" t="n">
        <x:f>Trading_Raw!H5</x:f>
        <x:v>0.455368</x:v>
      </x:c>
      <x:c r="I5" t="n">
        <x:f>Trading_Raw!I5</x:f>
        <x:v>0.453651</x:v>
      </x:c>
      <x:c r="J5" t="n">
        <x:f>Trading_Raw!J5</x:f>
        <x:v>0.472512</x:v>
      </x:c>
      <x:c r="K5" t="n">
        <x:f>Trading_Raw!K5</x:f>
        <x:v>250</x:v>
      </x:c>
      <x:c r="L5" t="n">
        <x:f>Trading_Raw!L5</x:f>
        <x:v>10</x:v>
      </x:c>
      <x:c r="M5" t="n">
        <x:f>Trading_Raw!M5</x:f>
        <x:v>2</x:v>
      </x:c>
      <x:c r="N5" t="str">
        <x:f>Trading_Raw!N5</x:f>
        <x:v>Trend continuation</x:v>
      </x:c>
      <x:c r="O5" t="str">
        <x:f>Trading_Raw!O5</x:f>
        <x:v>Late entry</x:v>
      </x:c>
      <x:c r="P5" s="76" t="n">
        <x:f>IF(F5="Long",(H5-G5)/G5*K5*L5,(G5-H5)/G5*K5*L5)-M5</x:f>
        <x:v>-28.52357083417541</x:v>
      </x:c>
      <x:c r="Q5" s="78" t="n">
        <x:f>P5/K5</x:f>
        <x:v>-0.11409428333670163</x:v>
      </x:c>
      <x:c r="R5" s="78" t="n">
        <x:f>IF(F5="Long",(G5-I5)/G5,(I5-G5)/G5)</x:f>
        <x:v>0.01434000143400013</x:v>
      </x:c>
      <x:c r="S5" s="78" t="n">
        <x:f>IF(F5="Long",(J5-G5)/G5,(G5-J5)/G5)</x:f>
        <x:v>0.02663981175489019</x:v>
      </x:c>
      <x:c r="T5" s="80" t="n">
        <x:f>IFERROR(P5/(K5*L5*R5),0)</x:f>
        <x:v>-0.7956364848484895</x:v>
      </x:c>
      <x:c r="U5" t="str">
        <x:f>IF(P5&gt;0,"Win",IF(P5&lt;0,"Loss","Breakeven"))</x:f>
        <x:v>Loss</x:v>
      </x:c>
      <x:c r="V5" s="76" t="n">
        <x:f>SUM($P$5:P5)</x:f>
        <x:v>-28.52357083417541</x:v>
      </x:c>
    </x:row>
    <x:row r="6">
      <x:c r="A6" t="n">
        <x:f>Trading_Raw!A6</x:f>
        <x:v>2</x:v>
      </x:c>
      <x:c r="B6" s="72" t="n">
        <x:f>Trading_Raw!B6</x:f>
        <x:v>46116.333333333336</x:v>
      </x:c>
      <x:c r="C6" t="str">
        <x:f>Trading_Raw!C6</x:f>
        <x:v>BTCUSDT</x:v>
      </x:c>
      <x:c r="D6" t="str">
        <x:f>Trading_Raw!D6</x:f>
        <x:v>Binance</x:v>
      </x:c>
      <x:c r="E6" t="str">
        <x:f>Trading_Raw!E6</x:f>
        <x:v>15m</x:v>
      </x:c>
      <x:c r="F6" t="str">
        <x:f>Trading_Raw!F6</x:f>
        <x:v>Short</x:v>
      </x:c>
      <x:c r="G6" t="n">
        <x:f>Trading_Raw!G6</x:f>
        <x:v>66154.163685</x:v>
      </x:c>
      <x:c r="H6" t="n">
        <x:f>Trading_Raw!H6</x:f>
        <x:v>64651.378357</x:v>
      </x:c>
      <x:c r="I6" t="n">
        <x:f>Trading_Raw!I6</x:f>
        <x:v>66710.517781</x:v>
      </x:c>
      <x:c r="J6" t="n">
        <x:f>Trading_Raw!J6</x:f>
        <x:v>62610.389825</x:v>
      </x:c>
      <x:c r="K6" t="n">
        <x:f>Trading_Raw!K6</x:f>
        <x:v>300</x:v>
      </x:c>
      <x:c r="L6" t="n">
        <x:f>Trading_Raw!L6</x:f>
        <x:v>2</x:v>
      </x:c>
      <x:c r="M6" t="n">
        <x:f>Trading_Raw!M6</x:f>
        <x:v>0.48</x:v>
      </x:c>
      <x:c r="N6" t="str">
        <x:f>Trading_Raw!N6</x:f>
        <x:v>Trend continuation</x:v>
      </x:c>
      <x:c r="O6" t="str">
        <x:f>Trading_Raw!O6</x:f>
        <x:v>Ignored funding</x:v>
      </x:c>
      <x:c r="P6" s="76" t="n">
        <x:f>IF(F6="Long",(H6-G6)/G6*K6*L6,(G6-H6)/G6*K6*L6)-M6</x:f>
        <x:v>13.149848018235183</x:v>
      </x:c>
      <x:c r="Q6" s="78" t="n">
        <x:f>P6/K6</x:f>
        <x:v>0.04383282672745061</x:v>
      </x:c>
      <x:c r="R6" s="78" t="n">
        <x:f>IF(F6="Long",(G6-I6)/G6,(I6-G6)/G6)</x:f>
        <x:v>0.008409963409848757</x:v>
      </x:c>
      <x:c r="S6" s="78" t="n">
        <x:f>IF(F6="Long",(J6-G6)/G6,(G6-J6)/G6)</x:f>
        <x:v>0.05356841750542051</x:v>
      </x:c>
      <x:c r="T6" s="80" t="n">
        <x:f>IFERROR(P6/(K6*L6*R6),0)</x:f>
        <x:v>2.6060057928503455</x:v>
      </x:c>
      <x:c r="U6" t="str">
        <x:f>IF(P6&gt;0,"Win",IF(P6&lt;0,"Loss","Breakeven"))</x:f>
        <x:v>Win</x:v>
      </x:c>
      <x:c r="V6" s="76" t="n">
        <x:f>SUM($P$5:P6)</x:f>
        <x:v>-15.373722815940226</x:v>
      </x:c>
    </x:row>
    <x:row r="7">
      <x:c r="A7" t="n">
        <x:f>Trading_Raw!A7</x:f>
        <x:v>3</x:v>
      </x:c>
      <x:c r="B7" s="72" t="n">
        <x:f>Trading_Raw!B7</x:f>
        <x:v>46034.458333333336</x:v>
      </x:c>
      <x:c r="C7" t="str">
        <x:f>Trading_Raw!C7</x:f>
        <x:v>ADAUSDT</x:v>
      </x:c>
      <x:c r="D7" t="str">
        <x:f>Trading_Raw!D7</x:f>
        <x:v>OKX</x:v>
      </x:c>
      <x:c r="E7" t="str">
        <x:f>Trading_Raw!E7</x:f>
        <x:v>15m</x:v>
      </x:c>
      <x:c r="F7" t="str">
        <x:f>Trading_Raw!F7</x:f>
        <x:v>Short</x:v>
      </x:c>
      <x:c r="G7" t="n">
        <x:f>Trading_Raw!G7</x:f>
        <x:v>0.463103</x:v>
      </x:c>
      <x:c r="H7" t="n">
        <x:f>Trading_Raw!H7</x:f>
        <x:v>0.452386</x:v>
      </x:c>
      <x:c r="I7" t="n">
        <x:f>Trading_Raw!I7</x:f>
        <x:v>0.471841</x:v>
      </x:c>
      <x:c r="J7" t="n">
        <x:f>Trading_Raw!J7</x:f>
        <x:v>0.44409</x:v>
      </x:c>
      <x:c r="K7" t="n">
        <x:f>Trading_Raw!K7</x:f>
        <x:v>500</x:v>
      </x:c>
      <x:c r="L7" t="n">
        <x:f>Trading_Raw!L7</x:f>
        <x:v>1</x:v>
      </x:c>
      <x:c r="M7" t="n">
        <x:f>Trading_Raw!M7</x:f>
        <x:v>0.4</x:v>
      </x:c>
      <x:c r="N7" t="str">
        <x:f>Trading_Raw!N7</x:f>
        <x:v>OB retest</x:v>
      </x:c>
      <x:c r="O7" t="str">
        <x:f>Trading_Raw!O7</x:f>
        <x:v>Ignored funding</x:v>
      </x:c>
      <x:c r="P7" s="76" t="n">
        <x:f>IF(F7="Long",(H7-G7)/G7*K7*L7,(G7-H7)/G7*K7*L7)-M7</x:f>
        <x:v>11.170860046253184</x:v>
      </x:c>
      <x:c r="Q7" s="78" t="n">
        <x:f>P7/K7</x:f>
        <x:v>0.022341720092506366</x:v>
      </x:c>
      <x:c r="R7" s="78" t="n">
        <x:f>IF(F7="Long",(G7-I7)/G7,(I7-G7)/G7)</x:f>
        <x:v>0.01886837269462738</x:v>
      </x:c>
      <x:c r="S7" s="78" t="n">
        <x:f>IF(F7="Long",(J7-G7)/G7,(G7-J7)/G7)</x:f>
        <x:v>0.04105566148351447</x:v>
      </x:c>
      <x:c r="T7" s="80" t="n">
        <x:f>IFERROR(P7/(K7*L7*R7),0)</x:f>
        <x:v>1.1840830395971558</x:v>
      </x:c>
      <x:c r="U7" t="str">
        <x:f>IF(P7&gt;0,"Win",IF(P7&lt;0,"Loss","Breakeven"))</x:f>
        <x:v>Win</x:v>
      </x:c>
      <x:c r="V7" s="76" t="n">
        <x:f>SUM($P$5:P7)</x:f>
        <x:v>-4.202862769687043</x:v>
      </x:c>
    </x:row>
    <x:row r="8">
      <x:c r="A8" t="n">
        <x:f>Trading_Raw!A8</x:f>
        <x:v>4</x:v>
      </x:c>
      <x:c r="B8" s="72" t="n">
        <x:f>Trading_Raw!B8</x:f>
        <x:v>46081.916666666664</x:v>
      </x:c>
      <x:c r="C8" t="str">
        <x:f>Trading_Raw!C8</x:f>
        <x:v>FARTCOINUSDT</x:v>
      </x:c>
      <x:c r="D8" t="str">
        <x:f>Trading_Raw!D8</x:f>
        <x:v>OKX</x:v>
      </x:c>
      <x:c r="E8" t="str">
        <x:f>Trading_Raw!E8</x:f>
        <x:v>5m</x:v>
      </x:c>
      <x:c r="F8" t="str">
        <x:f>Trading_Raw!F8</x:f>
        <x:v>Long</x:v>
      </x:c>
      <x:c r="G8" t="n">
        <x:f>Trading_Raw!G8</x:f>
        <x:v>0.175689</x:v>
      </x:c>
      <x:c r="H8" t="n">
        <x:f>Trading_Raw!H8</x:f>
        <x:v>0.181461</x:v>
      </x:c>
      <x:c r="I8" t="n">
        <x:f>Trading_Raw!I8</x:f>
        <x:v>0.172862</x:v>
      </x:c>
      <x:c r="J8" t="n">
        <x:f>Trading_Raw!J8</x:f>
        <x:v>0.183001</x:v>
      </x:c>
      <x:c r="K8" t="n">
        <x:f>Trading_Raw!K8</x:f>
        <x:v>150</x:v>
      </x:c>
      <x:c r="L8" t="n">
        <x:f>Trading_Raw!L8</x:f>
        <x:v>2</x:v>
      </x:c>
      <x:c r="M8" t="n">
        <x:f>Trading_Raw!M8</x:f>
        <x:v>0.24</x:v>
      </x:c>
      <x:c r="N8" t="str">
        <x:f>Trading_Raw!N8</x:f>
        <x:v>Trend continuation</x:v>
      </x:c>
      <x:c r="O8" t="str">
        <x:f>Trading_Raw!O8</x:f>
        <x:v>Oversized</x:v>
      </x:c>
      <x:c r="P8" s="76" t="n">
        <x:f>IF(F8="Long",(H8-G8)/G8*K8*L8,(G8-H8)/G8*K8*L8)-M8</x:f>
        <x:v>9.61605245632908</x:v>
      </x:c>
      <x:c r="Q8" s="78" t="n">
        <x:f>P8/K8</x:f>
        <x:v>0.0641070163755272</x:v>
      </x:c>
      <x:c r="R8" s="78" t="n">
        <x:f>IF(F8="Long",(G8-I8)/G8,(I8-G8)/G8)</x:f>
        <x:v>0.016090933410742983</x:v>
      </x:c>
      <x:c r="S8" s="78" t="n">
        <x:f>IF(F8="Long",(J8-G8)/G8,(G8-J8)/G8)</x:f>
        <x:v>0.041618997205288805</x:v>
      </x:c>
      <x:c r="T8" s="80" t="n">
        <x:f>IFERROR(P8/(K8*L8*R8),0)</x:f>
        <x:v>1.9920229218252392</x:v>
      </x:c>
      <x:c r="U8" t="str">
        <x:f>IF(P8&gt;0,"Win",IF(P8&lt;0,"Loss","Breakeven"))</x:f>
        <x:v>Win</x:v>
      </x:c>
      <x:c r="V8" s="76" t="n">
        <x:f>SUM($P$5:P8)</x:f>
        <x:v>5.413189686642037</x:v>
      </x:c>
    </x:row>
    <x:row r="9">
      <x:c r="A9" t="n">
        <x:f>Trading_Raw!A9</x:f>
        <x:v>5</x:v>
      </x:c>
      <x:c r="B9" s="72" t="n">
        <x:f>Trading_Raw!B9</x:f>
        <x:v>46127.666666666664</x:v>
      </x:c>
      <x:c r="C9" t="str">
        <x:f>Trading_Raw!C9</x:f>
        <x:v>FARTCOINUSDT</x:v>
      </x:c>
      <x:c r="D9" t="str">
        <x:f>Trading_Raw!D9</x:f>
        <x:v>Binance</x:v>
      </x:c>
      <x:c r="E9" t="str">
        <x:f>Trading_Raw!E9</x:f>
        <x:v>1h</x:v>
      </x:c>
      <x:c r="F9" t="str">
        <x:f>Trading_Raw!F9</x:f>
        <x:v>Long</x:v>
      </x:c>
      <x:c r="G9" t="n">
        <x:f>Trading_Raw!G9</x:f>
        <x:v>0.183532</x:v>
      </x:c>
      <x:c r="H9" t="n">
        <x:f>Trading_Raw!H9</x:f>
        <x:v>0.185055</x:v>
      </x:c>
      <x:c r="I9" t="n">
        <x:f>Trading_Raw!I9</x:f>
        <x:v>0.181539</x:v>
      </x:c>
      <x:c r="J9" t="n">
        <x:f>Trading_Raw!J9</x:f>
        <x:v>0.188213</x:v>
      </x:c>
      <x:c r="K9" t="n">
        <x:f>Trading_Raw!K9</x:f>
        <x:v>750</x:v>
      </x:c>
      <x:c r="L9" t="n">
        <x:f>Trading_Raw!L9</x:f>
        <x:v>3</x:v>
      </x:c>
      <x:c r="M9" t="n">
        <x:f>Trading_Raw!M9</x:f>
        <x:v>1.8</x:v>
      </x:c>
      <x:c r="N9" t="str">
        <x:f>Trading_Raw!N9</x:f>
        <x:v>Range deviation</x:v>
      </x:c>
      <x:c r="O9" t="str">
        <x:f>Trading_Raw!O9</x:f>
        <x:v>Ignored funding</x:v>
      </x:c>
      <x:c r="P9" s="76" t="n">
        <x:f>IF(F9="Long",(H9-G9)/G9*K9*L9,(G9-H9)/G9*K9*L9)-M9</x:f>
        <x:v>16.871130919948524</x:v>
      </x:c>
      <x:c r="Q9" s="78" t="n">
        <x:f>P9/K9</x:f>
        <x:v>0.02249484122659803</x:v>
      </x:c>
      <x:c r="R9" s="78" t="n">
        <x:f>IF(F9="Long",(G9-I9)/G9,(I9-G9)/G9)</x:f>
        <x:v>0.010859141730052497</x:v>
      </x:c>
      <x:c r="S9" s="78" t="n">
        <x:f>IF(F9="Long",(J9-G9)/G9,(G9-J9)/G9)</x:f>
        <x:v>0.02550508903079567</x:v>
      </x:c>
      <x:c r="T9" s="80" t="n">
        <x:f>IFERROR(P9/(K9*L9*R9),0)</x:f>
        <x:v>0.6905039638735576</x:v>
      </x:c>
      <x:c r="U9" t="str">
        <x:f>IF(P9&gt;0,"Win",IF(P9&lt;0,"Loss","Breakeven"))</x:f>
        <x:v>Win</x:v>
      </x:c>
      <x:c r="V9" s="76" t="n">
        <x:f>SUM($P$5:P9)</x:f>
        <x:v>22.284320606590562</x:v>
      </x:c>
    </x:row>
    <x:row r="10">
      <x:c r="A10" t="n">
        <x:f>Trading_Raw!A10</x:f>
        <x:v>6</x:v>
      </x:c>
      <x:c r="B10" s="72" t="n">
        <x:f>Trading_Raw!B10</x:f>
        <x:v>46121.541666666664</x:v>
      </x:c>
      <x:c r="C10" t="str">
        <x:f>Trading_Raw!C10</x:f>
        <x:v>BNBUSDT</x:v>
      </x:c>
      <x:c r="D10" t="str">
        <x:f>Trading_Raw!D10</x:f>
        <x:v>Bybit</x:v>
      </x:c>
      <x:c r="E10" t="str">
        <x:f>Trading_Raw!E10</x:f>
        <x:v>5m</x:v>
      </x:c>
      <x:c r="F10" t="str">
        <x:f>Trading_Raw!F10</x:f>
        <x:v>Short</x:v>
      </x:c>
      <x:c r="G10" t="n">
        <x:f>Trading_Raw!G10</x:f>
        <x:v>516.080404</x:v>
      </x:c>
      <x:c r="H10" t="n">
        <x:f>Trading_Raw!H10</x:f>
        <x:v>502.017539</x:v>
      </x:c>
      <x:c r="I10" t="n">
        <x:f>Trading_Raw!I10</x:f>
        <x:v>520.519843</x:v>
      </x:c>
      <x:c r="J10" t="n">
        <x:f>Trading_Raw!J10</x:f>
        <x:v>488.413298</x:v>
      </x:c>
      <x:c r="K10" t="n">
        <x:f>Trading_Raw!K10</x:f>
        <x:v>500</x:v>
      </x:c>
      <x:c r="L10" t="n">
        <x:f>Trading_Raw!L10</x:f>
        <x:v>1</x:v>
      </x:c>
      <x:c r="M10" t="n">
        <x:f>Trading_Raw!M10</x:f>
        <x:v>0.4</x:v>
      </x:c>
      <x:c r="N10" t="str">
        <x:f>Trading_Raw!N10</x:f>
        <x:v>Range deviation</x:v>
      </x:c>
      <x:c r="O10" t="str">
        <x:f>Trading_Raw!O10</x:f>
        <x:v>Oversized</x:v>
      </x:c>
      <x:c r="P10" s="76" t="n">
        <x:f>IF(F10="Long",(H10-G10)/G10*K10*L10,(G10-H10)/G10*K10*L10)-M10</x:f>
        <x:v>13.22468414902268</x:v>
      </x:c>
      <x:c r="Q10" s="78" t="n">
        <x:f>P10/K10</x:f>
        <x:v>0.02644936829804536</x:v>
      </x:c>
      <x:c r="R10" s="78" t="n">
        <x:f>IF(F10="Long",(G10-I10)/G10,(I10-G10)/G10)</x:f>
        <x:v>0.008602223540345842</x:v>
      </x:c>
      <x:c r="S10" s="78" t="n">
        <x:f>IF(F10="Long",(J10-G10)/G10,(G10-J10)/G10)</x:f>
        <x:v>0.05361006886826116</x:v>
      </x:c>
      <x:c r="T10" s="80" t="n">
        <x:f>IFERROR(P10/(K10*L10*R10),0)</x:f>
        <x:v>3.074712970895662</x:v>
      </x:c>
      <x:c r="U10" t="str">
        <x:f>IF(P10&gt;0,"Win",IF(P10&lt;0,"Loss","Breakeven"))</x:f>
        <x:v>Win</x:v>
      </x:c>
      <x:c r="V10" s="76" t="n">
        <x:f>SUM($P$5:P10)</x:f>
        <x:v>35.50900475561324</x:v>
      </x:c>
    </x:row>
    <x:row r="11">
      <x:c r="A11" t="n">
        <x:f>Trading_Raw!A11</x:f>
        <x:v>7</x:v>
      </x:c>
      <x:c r="B11" s="72" t="n">
        <x:f>Trading_Raw!B11</x:f>
        <x:v>46154.541666666664</x:v>
      </x:c>
      <x:c r="C11" t="str">
        <x:f>Trading_Raw!C11</x:f>
        <x:v>FARTCOINUSDT</x:v>
      </x:c>
      <x:c r="D11" t="str">
        <x:f>Trading_Raw!D11</x:f>
        <x:v>OKX</x:v>
      </x:c>
      <x:c r="E11" t="str">
        <x:f>Trading_Raw!E11</x:f>
        <x:v>3m</x:v>
      </x:c>
      <x:c r="F11" t="str">
        <x:f>Trading_Raw!F11</x:f>
        <x:v>Long</x:v>
      </x:c>
      <x:c r="G11" t="n">
        <x:f>Trading_Raw!G11</x:f>
        <x:v>0.148033</x:v>
      </x:c>
      <x:c r="H11" t="n">
        <x:f>Trading_Raw!H11</x:f>
        <x:v>0.146664</x:v>
      </x:c>
      <x:c r="I11" t="n">
        <x:f>Trading_Raw!I11</x:f>
        <x:v>0.145323</x:v>
      </x:c>
      <x:c r="J11" t="n">
        <x:f>Trading_Raw!J11</x:f>
        <x:v>0.152171</x:v>
      </x:c>
      <x:c r="K11" t="n">
        <x:f>Trading_Raw!K11</x:f>
        <x:v>500</x:v>
      </x:c>
      <x:c r="L11" t="n">
        <x:f>Trading_Raw!L11</x:f>
        <x:v>5</x:v>
      </x:c>
      <x:c r="M11" t="n">
        <x:f>Trading_Raw!M11</x:f>
        <x:v>2</x:v>
      </x:c>
      <x:c r="N11" t="str">
        <x:f>Trading_Raw!N11</x:f>
        <x:v>Liquidity sweep</x:v>
      </x:c>
      <x:c r="O11" t="str">
        <x:f>Trading_Raw!O11</x:f>
        <x:v>Oversized</x:v>
      </x:c>
      <x:c r="P11" s="76" t="n">
        <x:f>IF(F11="Long",(H11-G11)/G11*K11*L11,(G11-H11)/G11*K11*L11)-M11</x:f>
        <x:v>-25.11984489944825</x:v>
      </x:c>
      <x:c r="Q11" s="78" t="n">
        <x:f>P11/K11</x:f>
        <x:v>-0.0502396897988965</x:v>
      </x:c>
      <x:c r="R11" s="78" t="n">
        <x:f>IF(F11="Long",(G11-I11)/G11,(I11-G11)/G11)</x:f>
        <x:v>0.018306728905041376</x:v>
      </x:c>
      <x:c r="S11" s="78" t="n">
        <x:f>IF(F11="Long",(J11-G11)/G11,(G11-J11)/G11)</x:f>
        <x:v>0.027953226645410164</x:v>
      </x:c>
      <x:c r="T11" s="80" t="n">
        <x:f>IFERROR(P11/(K11*L11*R11),0)</x:f>
        <x:v>-0.5488658302583079</x:v>
      </x:c>
      <x:c r="U11" t="str">
        <x:f>IF(P11&gt;0,"Win",IF(P11&lt;0,"Loss","Breakeven"))</x:f>
        <x:v>Loss</x:v>
      </x:c>
      <x:c r="V11" s="76" t="n">
        <x:f>SUM($P$5:P11)</x:f>
        <x:v>10.38915985616499</x:v>
      </x:c>
    </x:row>
    <x:row r="12">
      <x:c r="A12" t="n">
        <x:f>Trading_Raw!A12</x:f>
        <x:v>8</x:v>
      </x:c>
      <x:c r="B12" s="72" t="n">
        <x:f>Trading_Raw!B12</x:f>
        <x:v>46033.5</x:v>
      </x:c>
      <x:c r="C12" t="str">
        <x:f>Trading_Raw!C12</x:f>
        <x:v>WLFIUSDT</x:v>
      </x:c>
      <x:c r="D12" t="str">
        <x:f>Trading_Raw!D12</x:f>
        <x:v>Bybit</x:v>
      </x:c>
      <x:c r="E12" t="str">
        <x:f>Trading_Raw!E12</x:f>
        <x:v>1h</x:v>
      </x:c>
      <x:c r="F12" t="str">
        <x:f>Trading_Raw!F12</x:f>
        <x:v>Long</x:v>
      </x:c>
      <x:c r="G12" t="n">
        <x:f>Trading_Raw!G12</x:f>
        <x:v>0.06067</x:v>
      </x:c>
      <x:c r="H12" t="n">
        <x:f>Trading_Raw!H12</x:f>
        <x:v>0.058955</x:v>
      </x:c>
      <x:c r="I12" t="n">
        <x:f>Trading_Raw!I12</x:f>
        <x:v>0.060088</x:v>
      </x:c>
      <x:c r="J12" t="n">
        <x:f>Trading_Raw!J12</x:f>
        <x:v>0.062564</x:v>
      </x:c>
      <x:c r="K12" t="n">
        <x:f>Trading_Raw!K12</x:f>
        <x:v>100</x:v>
      </x:c>
      <x:c r="L12" t="n">
        <x:f>Trading_Raw!L12</x:f>
        <x:v>10</x:v>
      </x:c>
      <x:c r="M12" t="n">
        <x:f>Trading_Raw!M12</x:f>
        <x:v>0.8</x:v>
      </x:c>
      <x:c r="N12" t="str">
        <x:f>Trading_Raw!N12</x:f>
        <x:v>VWAP reclaim</x:v>
      </x:c>
      <x:c r="O12" t="str">
        <x:f>Trading_Raw!O12</x:f>
        <x:v>No HTF confirmation</x:v>
      </x:c>
      <x:c r="P12" s="76" t="n">
        <x:f>IF(F12="Long",(H12-G12)/G12*K12*L12,(G12-H12)/G12*K12*L12)-M12</x:f>
        <x:v>-29.067677600131876</x:v>
      </x:c>
      <x:c r="Q12" s="78" t="n">
        <x:f>P12/K12</x:f>
        <x:v>-0.29067677600131875</x:v>
      </x:c>
      <x:c r="R12" s="78" t="n">
        <x:f>IF(F12="Long",(G12-I12)/G12,(I12-G12)/G12)</x:f>
        <x:v>0.009592879512114705</x:v>
      </x:c>
      <x:c r="S12" s="78" t="n">
        <x:f>IF(F12="Long",(J12-G12)/G12,(G12-J12)/G12)</x:f>
        <x:v>0.031218064941486615</x:v>
      </x:c>
      <x:c r="T12" s="80" t="n">
        <x:f>IFERROR(P12/(K12*L12*R12),0)</x:f>
        <x:v>-3.030130584192446</x:v>
      </x:c>
      <x:c r="U12" t="str">
        <x:f>IF(P12&gt;0,"Win",IF(P12&lt;0,"Loss","Breakeven"))</x:f>
        <x:v>Loss</x:v>
      </x:c>
      <x:c r="V12" s="76" t="n">
        <x:f>SUM($P$5:P12)</x:f>
        <x:v>-18.678517743966886</x:v>
      </x:c>
    </x:row>
    <x:row r="13">
      <x:c r="A13" t="n">
        <x:f>Trading_Raw!A13</x:f>
        <x:v>9</x:v>
      </x:c>
      <x:c r="B13" s="72" t="n">
        <x:f>Trading_Raw!B13</x:f>
        <x:v>46157.625</x:v>
      </x:c>
      <x:c r="C13" t="str">
        <x:f>Trading_Raw!C13</x:f>
        <x:v>BNBUSDT</x:v>
      </x:c>
      <x:c r="D13" t="str">
        <x:f>Trading_Raw!D13</x:f>
        <x:v>OKX</x:v>
      </x:c>
      <x:c r="E13" t="str">
        <x:f>Trading_Raw!E13</x:f>
        <x:v>15m</x:v>
      </x:c>
      <x:c r="F13" t="str">
        <x:f>Trading_Raw!F13</x:f>
        <x:v>Short</x:v>
      </x:c>
      <x:c r="G13" t="n">
        <x:f>Trading_Raw!G13</x:f>
        <x:v>541.45629</x:v>
      </x:c>
      <x:c r="H13" t="n">
        <x:f>Trading_Raw!H13</x:f>
        <x:v>539.036867</x:v>
      </x:c>
      <x:c r="I13" t="n">
        <x:f>Trading_Raw!I13</x:f>
        <x:v>548.293402</x:v>
      </x:c>
      <x:c r="J13" t="n">
        <x:f>Trading_Raw!J13</x:f>
        <x:v>532.5236</x:v>
      </x:c>
      <x:c r="K13" t="n">
        <x:f>Trading_Raw!K13</x:f>
        <x:v>500</x:v>
      </x:c>
      <x:c r="L13" t="n">
        <x:f>Trading_Raw!L13</x:f>
        <x:v>1</x:v>
      </x:c>
      <x:c r="M13" t="n">
        <x:f>Trading_Raw!M13</x:f>
        <x:v>0.4</x:v>
      </x:c>
      <x:c r="N13" t="str">
        <x:f>Trading_Raw!N13</x:f>
        <x:v>VWAP reclaim</x:v>
      </x:c>
      <x:c r="O13" t="str">
        <x:f>Trading_Raw!O13</x:f>
        <x:v>None</x:v>
      </x:c>
      <x:c r="P13" s="76" t="n">
        <x:f>IF(F13="Long",(H13-G13)/G13*K13*L13,(G13-H13)/G13*K13*L13)-M13</x:f>
        <x:v>1.8341812669679562</x:v>
      </x:c>
      <x:c r="Q13" s="78" t="n">
        <x:f>P13/K13</x:f>
        <x:v>0.0036683625339359125</x:v>
      </x:c>
      <x:c r="R13" s="78" t="n">
        <x:f>IF(F13="Long",(G13-I13)/G13,(I13-G13)/G13)</x:f>
        <x:v>0.012627264889655355</x:v>
      </x:c>
      <x:c r="S13" s="78" t="n">
        <x:f>IF(F13="Long",(J13-G13)/G13,(G13-J13)/G13)</x:f>
        <x:v>0.01649752743660985</x:v>
      </x:c>
      <x:c r="T13" s="80" t="n">
        <x:f>IFERROR(P13/(K13*L13*R13),0)</x:f>
        <x:v>0.2905112521193048</x:v>
      </x:c>
      <x:c r="U13" t="str">
        <x:f>IF(P13&gt;0,"Win",IF(P13&lt;0,"Loss","Breakeven"))</x:f>
        <x:v>Win</x:v>
      </x:c>
      <x:c r="V13" s="76" t="n">
        <x:f>SUM($P$5:P13)</x:f>
        <x:v>-16.84433647699893</x:v>
      </x:c>
    </x:row>
    <x:row r="14">
      <x:c r="A14" t="n">
        <x:f>Trading_Raw!A14</x:f>
        <x:v>10</x:v>
      </x:c>
      <x:c r="B14" s="72" t="n">
        <x:f>Trading_Raw!B14</x:f>
        <x:v>46057.708333333336</x:v>
      </x:c>
      <x:c r="C14" t="str">
        <x:f>Trading_Raw!C14</x:f>
        <x:v>FARTCOINUSDT</x:v>
      </x:c>
      <x:c r="D14" t="str">
        <x:f>Trading_Raw!D14</x:f>
        <x:v>Binance</x:v>
      </x:c>
      <x:c r="E14" t="str">
        <x:f>Trading_Raw!E14</x:f>
        <x:v>1h</x:v>
      </x:c>
      <x:c r="F14" t="str">
        <x:f>Trading_Raw!F14</x:f>
        <x:v>Short</x:v>
      </x:c>
      <x:c r="G14" t="n">
        <x:f>Trading_Raw!G14</x:f>
        <x:v>0.172244</x:v>
      </x:c>
      <x:c r="H14" t="n">
        <x:f>Trading_Raw!H14</x:f>
        <x:v>0.170787</x:v>
      </x:c>
      <x:c r="I14" t="n">
        <x:f>Trading_Raw!I14</x:f>
        <x:v>0.175789</x:v>
      </x:c>
      <x:c r="J14" t="n">
        <x:f>Trading_Raw!J14</x:f>
        <x:v>0.16356</x:v>
      </x:c>
      <x:c r="K14" t="n">
        <x:f>Trading_Raw!K14</x:f>
        <x:v>500</x:v>
      </x:c>
      <x:c r="L14" t="n">
        <x:f>Trading_Raw!L14</x:f>
        <x:v>10</x:v>
      </x:c>
      <x:c r="M14" t="n">
        <x:f>Trading_Raw!M14</x:f>
        <x:v>4</x:v>
      </x:c>
      <x:c r="N14" t="str">
        <x:f>Trading_Raw!N14</x:f>
        <x:v>Trend continuation</x:v>
      </x:c>
      <x:c r="O14" t="str">
        <x:f>Trading_Raw!O14</x:f>
        <x:v>None</x:v>
      </x:c>
      <x:c r="P14" s="76" t="n">
        <x:f>IF(F14="Long",(H14-G14)/G14*K14*L14,(G14-H14)/G14*K14*L14)-M14</x:f>
        <x:v>38.29465177306651</x:v>
      </x:c>
      <x:c r="Q14" s="78" t="n">
        <x:f>P14/K14</x:f>
        <x:v>0.07658930354613303</x:v>
      </x:c>
      <x:c r="R14" s="78" t="n">
        <x:f>IF(F14="Long",(G14-I14)/G14,(I14-G14)/G14)</x:f>
        <x:v>0.020581268433152927</x:v>
      </x:c>
      <x:c r="S14" s="78" t="n">
        <x:f>IF(F14="Long",(J14-G14)/G14,(G14-J14)/G14)</x:f>
        <x:v>0.050416850514386546</x:v>
      </x:c>
      <x:c r="T14" s="80" t="n">
        <x:f>IFERROR(P14/(K14*L14*R14),0)</x:f>
        <x:v>0.3721311142454207</x:v>
      </x:c>
      <x:c r="U14" t="str">
        <x:f>IF(P14&gt;0,"Win",IF(P14&lt;0,"Loss","Breakeven"))</x:f>
        <x:v>Win</x:v>
      </x:c>
      <x:c r="V14" s="76" t="n">
        <x:f>SUM($P$5:P14)</x:f>
        <x:v>21.450315296067583</x:v>
      </x:c>
    </x:row>
    <x:row r="15">
      <x:c r="A15" t="n">
        <x:f>Trading_Raw!A15</x:f>
        <x:v>11</x:v>
      </x:c>
      <x:c r="B15" s="72" t="n">
        <x:f>Trading_Raw!B15</x:f>
        <x:v>46063.333333333336</x:v>
      </x:c>
      <x:c r="C15" t="str">
        <x:f>Trading_Raw!C15</x:f>
        <x:v>BNBUSDT</x:v>
      </x:c>
      <x:c r="D15" t="str">
        <x:f>Trading_Raw!D15</x:f>
        <x:v>Bybit</x:v>
      </x:c>
      <x:c r="E15" t="str">
        <x:f>Trading_Raw!E15</x:f>
        <x:v>3m</x:v>
      </x:c>
      <x:c r="F15" t="str">
        <x:f>Trading_Raw!F15</x:f>
        <x:v>Long</x:v>
      </x:c>
      <x:c r="G15" t="n">
        <x:f>Trading_Raw!G15</x:f>
        <x:v>514.330173</x:v>
      </x:c>
      <x:c r="H15" t="n">
        <x:f>Trading_Raw!H15</x:f>
        <x:v>535.640045</x:v>
      </x:c>
      <x:c r="I15" t="n">
        <x:f>Trading_Raw!I15</x:f>
        <x:v>509.369321</x:v>
      </x:c>
      <x:c r="J15" t="n">
        <x:f>Trading_Raw!J15</x:f>
        <x:v>530.676117</x:v>
      </x:c>
      <x:c r="K15" t="n">
        <x:f>Trading_Raw!K15</x:f>
        <x:v>750</x:v>
      </x:c>
      <x:c r="L15" t="n">
        <x:f>Trading_Raw!L15</x:f>
        <x:v>1</x:v>
      </x:c>
      <x:c r="M15" t="n">
        <x:f>Trading_Raw!M15</x:f>
        <x:v>0.6</x:v>
      </x:c>
      <x:c r="N15" t="str">
        <x:f>Trading_Raw!N15</x:f>
        <x:v>Liquidity sweep</x:v>
      </x:c>
      <x:c r="O15" t="str">
        <x:f>Trading_Raw!O15</x:f>
        <x:v>Ignored funding</x:v>
      </x:c>
      <x:c r="P15" s="76" t="n">
        <x:f>IF(F15="Long",(H15-G15)/G15*K15*L15,(G15-H15)/G15*K15*L15)-M15</x:f>
        <x:v>30.474210378865003</x:v>
      </x:c>
      <x:c r="Q15" s="78" t="n">
        <x:f>P15/K15</x:f>
        <x:v>0.040632280505153336</x:v>
      </x:c>
      <x:c r="R15" s="78" t="n">
        <x:f>IF(F15="Long",(G15-I15)/G15,(I15-G15)/G15)</x:f>
        <x:v>0.009645267301865901</x:v>
      </x:c>
      <x:c r="S15" s="78" t="n">
        <x:f>IF(F15="Long",(J15-G15)/G15,(G15-J15)/G15)</x:f>
        <x:v>0.03178103260918358</x:v>
      </x:c>
      <x:c r="T15" s="80" t="n">
        <x:f>IFERROR(P15/(K15*L15*R15),0)</x:f>
        <x:v>4.212665054631811</x:v>
      </x:c>
      <x:c r="U15" t="str">
        <x:f>IF(P15&gt;0,"Win",IF(P15&lt;0,"Loss","Breakeven"))</x:f>
        <x:v>Win</x:v>
      </x:c>
      <x:c r="V15" s="76" t="n">
        <x:f>SUM($P$5:P15)</x:f>
        <x:v>51.92452567493258</x:v>
      </x:c>
    </x:row>
    <x:row r="16">
      <x:c r="A16" t="n">
        <x:f>Trading_Raw!A16</x:f>
        <x:v>12</x:v>
      </x:c>
      <x:c r="B16" s="72" t="n">
        <x:f>Trading_Raw!B16</x:f>
        <x:v>46093.666666666664</x:v>
      </x:c>
      <x:c r="C16" t="str">
        <x:f>Trading_Raw!C16</x:f>
        <x:v>BNBUSDT</x:v>
      </x:c>
      <x:c r="D16" t="str">
        <x:f>Trading_Raw!D16</x:f>
        <x:v>OKX</x:v>
      </x:c>
      <x:c r="E16" t="str">
        <x:f>Trading_Raw!E16</x:f>
        <x:v>1h</x:v>
      </x:c>
      <x:c r="F16" t="str">
        <x:f>Trading_Raw!F16</x:f>
        <x:v>Long</x:v>
      </x:c>
      <x:c r="G16" t="n">
        <x:f>Trading_Raw!G16</x:f>
        <x:v>515.050626</x:v>
      </x:c>
      <x:c r="H16" t="n">
        <x:f>Trading_Raw!H16</x:f>
        <x:v>520.177817</x:v>
      </x:c>
      <x:c r="I16" t="n">
        <x:f>Trading_Raw!I16</x:f>
        <x:v>503.528765</x:v>
      </x:c>
      <x:c r="J16" t="n">
        <x:f>Trading_Raw!J16</x:f>
        <x:v>522.961272</x:v>
      </x:c>
      <x:c r="K16" t="n">
        <x:f>Trading_Raw!K16</x:f>
        <x:v>750</x:v>
      </x:c>
      <x:c r="L16" t="n">
        <x:f>Trading_Raw!L16</x:f>
        <x:v>10</x:v>
      </x:c>
      <x:c r="M16" t="n">
        <x:f>Trading_Raw!M16</x:f>
        <x:v>6</x:v>
      </x:c>
      <x:c r="N16" t="str">
        <x:f>Trading_Raw!N16</x:f>
        <x:v>Range deviation</x:v>
      </x:c>
      <x:c r="O16" t="str">
        <x:f>Trading_Raw!O16</x:f>
        <x:v>Oversized</x:v>
      </x:c>
      <x:c r="P16" s="76" t="n">
        <x:f>IF(F16="Long",(H16-G16)/G16*K16*L16,(G16-H16)/G16*K16*L16)-M16</x:f>
        <x:v>68.66049075338915</x:v>
      </x:c>
      <x:c r="Q16" s="78" t="n">
        <x:f>P16/K16</x:f>
        <x:v>0.09154732100451887</x:v>
      </x:c>
      <x:c r="R16" s="78" t="n">
        <x:f>IF(F16="Long",(G16-I16)/G16,(I16-G16)/G16)</x:f>
        <x:v>0.022370346560844575</x:v>
      </x:c>
      <x:c r="S16" s="78" t="n">
        <x:f>IF(F16="Long",(J16-G16)/G16,(G16-J16)/G16)</x:f>
        <x:v>0.015358967838629601</x:v>
      </x:c>
      <x:c r="T16" s="80" t="n">
        <x:f>IFERROR(P16/(K16*L16*R16),0)</x:f>
        <x:v>0.40923514866218763</x:v>
      </x:c>
      <x:c r="U16" t="str">
        <x:f>IF(P16&gt;0,"Win",IF(P16&lt;0,"Loss","Breakeven"))</x:f>
        <x:v>Win</x:v>
      </x:c>
      <x:c r="V16" s="76" t="n">
        <x:f>SUM($P$5:P16)</x:f>
        <x:v>120.58501642832174</x:v>
      </x:c>
    </x:row>
    <x:row r="17">
      <x:c r="A17" t="n">
        <x:f>Trading_Raw!A17</x:f>
        <x:v>13</x:v>
      </x:c>
      <x:c r="B17" s="72" t="n">
        <x:f>Trading_Raw!B17</x:f>
        <x:v>46124.333333333336</x:v>
      </x:c>
      <x:c r="C17" t="str">
        <x:f>Trading_Raw!C17</x:f>
        <x:v>ADAUSDT</x:v>
      </x:c>
      <x:c r="D17" t="str">
        <x:f>Trading_Raw!D17</x:f>
        <x:v>Bybit</x:v>
      </x:c>
      <x:c r="E17" t="str">
        <x:f>Trading_Raw!E17</x:f>
        <x:v>5m</x:v>
      </x:c>
      <x:c r="F17" t="str">
        <x:f>Trading_Raw!F17</x:f>
        <x:v>Long</x:v>
      </x:c>
      <x:c r="G17" t="n">
        <x:f>Trading_Raw!G17</x:f>
        <x:v>0.431996</x:v>
      </x:c>
      <x:c r="H17" t="n">
        <x:f>Trading_Raw!H17</x:f>
        <x:v>0.459266</x:v>
      </x:c>
      <x:c r="I17" t="n">
        <x:f>Trading_Raw!I17</x:f>
        <x:v>0.425614</x:v>
      </x:c>
      <x:c r="J17" t="n">
        <x:f>Trading_Raw!J17</x:f>
        <x:v>0.449455</x:v>
      </x:c>
      <x:c r="K17" t="n">
        <x:f>Trading_Raw!K17</x:f>
        <x:v>500</x:v>
      </x:c>
      <x:c r="L17" t="n">
        <x:f>Trading_Raw!L17</x:f>
        <x:v>1</x:v>
      </x:c>
      <x:c r="M17" t="n">
        <x:f>Trading_Raw!M17</x:f>
        <x:v>0.4</x:v>
      </x:c>
      <x:c r="N17" t="str">
        <x:f>Trading_Raw!N17</x:f>
        <x:v>VWAP reclaim</x:v>
      </x:c>
      <x:c r="O17" t="str">
        <x:f>Trading_Raw!O17</x:f>
        <x:v>Oversized</x:v>
      </x:c>
      <x:c r="P17" s="76" t="n">
        <x:f>IF(F17="Long",(H17-G17)/G17*K17*L17,(G17-H17)/G17*K17*L17)-M17</x:f>
        <x:v>31.162792248076393</x:v>
      </x:c>
      <x:c r="Q17" s="78" t="n">
        <x:f>P17/K17</x:f>
        <x:v>0.06232558449615279</x:v>
      </x:c>
      <x:c r="R17" s="78" t="n">
        <x:f>IF(F17="Long",(G17-I17)/G17,(I17-G17)/G17)</x:f>
        <x:v>0.014773284937823495</x:v>
      </x:c>
      <x:c r="S17" s="78" t="n">
        <x:f>IF(F17="Long",(J17-G17)/G17,(G17-J17)/G17)</x:f>
        <x:v>0.04041472606227836</x:v>
      </x:c>
      <x:c r="T17" s="80" t="n">
        <x:f>IFERROR(P17/(K17*L17*R17),0)</x:f>
        <x:v>4.218803384518964</x:v>
      </x:c>
      <x:c r="U17" t="str">
        <x:f>IF(P17&gt;0,"Win",IF(P17&lt;0,"Loss","Breakeven"))</x:f>
        <x:v>Win</x:v>
      </x:c>
      <x:c r="V17" s="76" t="n">
        <x:f>SUM($P$5:P17)</x:f>
        <x:v>151.74780867639814</x:v>
      </x:c>
    </x:row>
    <x:row r="18">
      <x:c r="A18" t="n">
        <x:f>Trading_Raw!A18</x:f>
        <x:v>14</x:v>
      </x:c>
      <x:c r="B18" s="72" t="n">
        <x:f>Trading_Raw!B18</x:f>
        <x:v>46104.375</x:v>
      </x:c>
      <x:c r="C18" t="str">
        <x:f>Trading_Raw!C18</x:f>
        <x:v>BTCUSDT</x:v>
      </x:c>
      <x:c r="D18" t="str">
        <x:f>Trading_Raw!D18</x:f>
        <x:v>Bybit</x:v>
      </x:c>
      <x:c r="E18" t="str">
        <x:f>Trading_Raw!E18</x:f>
        <x:v>1h</x:v>
      </x:c>
      <x:c r="F18" t="str">
        <x:f>Trading_Raw!F18</x:f>
        <x:v>Short</x:v>
      </x:c>
      <x:c r="G18" t="n">
        <x:f>Trading_Raw!G18</x:f>
        <x:v>59858.633029</x:v>
      </x:c>
      <x:c r="H18" t="n">
        <x:f>Trading_Raw!H18</x:f>
        <x:v>59120.653934</x:v>
      </x:c>
      <x:c r="I18" t="n">
        <x:f>Trading_Raw!I18</x:f>
        <x:v>60688.73634</x:v>
      </x:c>
      <x:c r="J18" t="n">
        <x:f>Trading_Raw!J18</x:f>
        <x:v>57394.387608</x:v>
      </x:c>
      <x:c r="K18" t="n">
        <x:f>Trading_Raw!K18</x:f>
        <x:v>1000</x:v>
      </x:c>
      <x:c r="L18" t="n">
        <x:f>Trading_Raw!L18</x:f>
        <x:v>10</x:v>
      </x:c>
      <x:c r="M18" t="n">
        <x:f>Trading_Raw!M18</x:f>
        <x:v>8</x:v>
      </x:c>
      <x:c r="N18" t="str">
        <x:f>Trading_Raw!N18</x:f>
        <x:v>OB retest</x:v>
      </x:c>
      <x:c r="O18" t="str">
        <x:f>Trading_Raw!O18</x:f>
        <x:v>Ignored funding</x:v>
      </x:c>
      <x:c r="P18" s="76" t="n">
        <x:f>IF(F18="Long",(H18-G18)/G18*K18*L18,(G18-H18)/G18*K18*L18)-M18</x:f>
        <x:v>115.28699431583459</x:v>
      </x:c>
      <x:c r="Q18" s="78" t="n">
        <x:f>P18/K18</x:f>
        <x:v>0.11528699431583458</x:v>
      </x:c>
      <x:c r="R18" s="78" t="n">
        <x:f>IF(F18="Long",(G18-I18)/G18,(I18-G18)/G18)</x:f>
        <x:v>0.013867729164443867</x:v>
      </x:c>
      <x:c r="S18" s="78" t="n">
        <x:f>IF(F18="Long",(J18-G18)/G18,(G18-J18)/G18)</x:f>
        <x:v>0.04116775302580222</x:v>
      </x:c>
      <x:c r="T18" s="80" t="n">
        <x:f>IFERROR(P18/(K18*L18*R18),0)</x:f>
        <x:v>0.831332894872395</x:v>
      </x:c>
      <x:c r="U18" t="str">
        <x:f>IF(P18&gt;0,"Win",IF(P18&lt;0,"Loss","Breakeven"))</x:f>
        <x:v>Win</x:v>
      </x:c>
      <x:c r="V18" s="76" t="n">
        <x:f>SUM($P$5:P18)</x:f>
        <x:v>267.0348029922327</x:v>
      </x:c>
    </x:row>
    <x:row r="19">
      <x:c r="A19" t="n">
        <x:f>Trading_Raw!A19</x:f>
        <x:v>15</x:v>
      </x:c>
      <x:c r="B19" s="72" t="n">
        <x:f>Trading_Raw!B19</x:f>
        <x:v>46097.083333333336</x:v>
      </x:c>
      <x:c r="C19" t="str">
        <x:f>Trading_Raw!C19</x:f>
        <x:v>WLFIUSDT</x:v>
      </x:c>
      <x:c r="D19" t="str">
        <x:f>Trading_Raw!D19</x:f>
        <x:v>Bybit</x:v>
      </x:c>
      <x:c r="E19" t="str">
        <x:f>Trading_Raw!E19</x:f>
        <x:v>1h</x:v>
      </x:c>
      <x:c r="F19" t="str">
        <x:f>Trading_Raw!F19</x:f>
        <x:v>Long</x:v>
      </x:c>
      <x:c r="G19" t="n">
        <x:f>Trading_Raw!G19</x:f>
        <x:v>0.052322</x:v>
      </x:c>
      <x:c r="H19" t="n">
        <x:f>Trading_Raw!H19</x:f>
        <x:v>0.049696</x:v>
      </x:c>
      <x:c r="I19" t="n">
        <x:f>Trading_Raw!I19</x:f>
        <x:v>0.051179</x:v>
      </x:c>
      <x:c r="J19" t="n">
        <x:f>Trading_Raw!J19</x:f>
        <x:v>0.054527</x:v>
      </x:c>
      <x:c r="K19" t="n">
        <x:f>Trading_Raw!K19</x:f>
        <x:v>200</x:v>
      </x:c>
      <x:c r="L19" t="n">
        <x:f>Trading_Raw!L19</x:f>
        <x:v>5</x:v>
      </x:c>
      <x:c r="M19" t="n">
        <x:f>Trading_Raw!M19</x:f>
        <x:v>0.8</x:v>
      </x:c>
      <x:c r="N19" t="str">
        <x:f>Trading_Raw!N19</x:f>
        <x:v>Trend continuation</x:v>
      </x:c>
      <x:c r="O19" t="str">
        <x:f>Trading_Raw!O19</x:f>
        <x:v>Moved SL</x:v>
      </x:c>
      <x:c r="P19" s="76" t="n">
        <x:f>IF(F19="Long",(H19-G19)/G19*K19*L19,(G19-H19)/G19*K19*L19)-M19</x:f>
        <x:v>-50.98921295057534</x:v>
      </x:c>
      <x:c r="Q19" s="78" t="n">
        <x:f>P19/K19</x:f>
        <x:v>-0.25494606475287673</x:v>
      </x:c>
      <x:c r="R19" s="78" t="n">
        <x:f>IF(F19="Long",(G19-I19)/G19,(I19-G19)/G19)</x:f>
        <x:v>0.021845495202782735</x:v>
      </x:c>
      <x:c r="S19" s="78" t="n">
        <x:f>IF(F19="Long",(J19-G19)/G19,(G19-J19)/G19)</x:f>
        <x:v>0.042142884446313186</x:v>
      </x:c>
      <x:c r="T19" s="80" t="n">
        <x:f>IFERROR(P19/(K19*L19*R19),0)</x:f>
        <x:v>-2.334083639545063</x:v>
      </x:c>
      <x:c r="U19" t="str">
        <x:f>IF(P19&gt;0,"Win",IF(P19&lt;0,"Loss","Breakeven"))</x:f>
        <x:v>Loss</x:v>
      </x:c>
      <x:c r="V19" s="76" t="n">
        <x:f>SUM($P$5:P19)</x:f>
        <x:v>216.04559004165736</x:v>
      </x:c>
    </x:row>
    <x:row r="20">
      <x:c r="A20" t="n">
        <x:f>Trading_Raw!A20</x:f>
        <x:v>16</x:v>
      </x:c>
      <x:c r="B20" s="72" t="n">
        <x:f>Trading_Raw!B20</x:f>
        <x:v>46109.333333333336</x:v>
      </x:c>
      <x:c r="C20" t="str">
        <x:f>Trading_Raw!C20</x:f>
        <x:v>BTCUSDT</x:v>
      </x:c>
      <x:c r="D20" t="str">
        <x:f>Trading_Raw!D20</x:f>
        <x:v>Bybit</x:v>
      </x:c>
      <x:c r="E20" t="str">
        <x:f>Trading_Raw!E20</x:f>
        <x:v>1h</x:v>
      </x:c>
      <x:c r="F20" t="str">
        <x:f>Trading_Raw!F20</x:f>
        <x:v>Long</x:v>
      </x:c>
      <x:c r="G20" t="n">
        <x:f>Trading_Raw!G20</x:f>
        <x:v>70249.913519</x:v>
      </x:c>
      <x:c r="H20" t="n">
        <x:f>Trading_Raw!H20</x:f>
        <x:v>67594.78416</x:v>
      </x:c>
      <x:c r="I20" t="n">
        <x:f>Trading_Raw!I20</x:f>
        <x:v>69503.238359</x:v>
      </x:c>
      <x:c r="J20" t="n">
        <x:f>Trading_Raw!J20</x:f>
        <x:v>73826.489505</x:v>
      </x:c>
      <x:c r="K20" t="n">
        <x:f>Trading_Raw!K20</x:f>
        <x:v>1000</x:v>
      </x:c>
      <x:c r="L20" t="n">
        <x:f>Trading_Raw!L20</x:f>
        <x:v>1</x:v>
      </x:c>
      <x:c r="M20" t="n">
        <x:f>Trading_Raw!M20</x:f>
        <x:v>0.8</x:v>
      </x:c>
      <x:c r="N20" t="str">
        <x:f>Trading_Raw!N20</x:f>
        <x:v>VWAP reclaim</x:v>
      </x:c>
      <x:c r="O20" t="str">
        <x:f>Trading_Raw!O20</x:f>
        <x:v>Oversized</x:v>
      </x:c>
      <x:c r="P20" s="76" t="n">
        <x:f>IF(F20="Long",(H20-G20)/G20*K20*L20,(G20-H20)/G20*K20*L20)-M20</x:f>
        <x:v>-38.59548224328966</x:v>
      </x:c>
      <x:c r="Q20" s="78" t="n">
        <x:f>P20/K20</x:f>
        <x:v>-0.03859548224328966</x:v>
      </x:c>
      <x:c r="R20" s="78" t="n">
        <x:f>IF(F20="Long",(G20-I20)/G20,(I20-G20)/G20)</x:f>
        <x:v>0.010628840984950835</x:v>
      </x:c>
      <x:c r="S20" s="78" t="n">
        <x:f>IF(F20="Long",(J20-G20)/G20,(G20-J20)/G20)</x:f>
        <x:v>0.05091217635495992</x:v>
      </x:c>
      <x:c r="T20" s="80" t="n">
        <x:f>IFERROR(P20/(K20*L20*R20),0)</x:f>
        <x:v>-3.6312032796366265</x:v>
      </x:c>
      <x:c r="U20" t="str">
        <x:f>IF(P20&gt;0,"Win",IF(P20&lt;0,"Loss","Breakeven"))</x:f>
        <x:v>Loss</x:v>
      </x:c>
      <x:c r="V20" s="76" t="n">
        <x:f>SUM($P$5:P20)</x:f>
        <x:v>177.4501077983677</x:v>
      </x:c>
    </x:row>
    <x:row r="21">
      <x:c r="A21" t="n">
        <x:f>Trading_Raw!A21</x:f>
        <x:v>17</x:v>
      </x:c>
      <x:c r="B21" s="72" t="n">
        <x:f>Trading_Raw!B21</x:f>
        <x:v>46140.833333333336</x:v>
      </x:c>
      <x:c r="C21" t="str">
        <x:f>Trading_Raw!C21</x:f>
        <x:v>XRPUSDT</x:v>
      </x:c>
      <x:c r="D21" t="str">
        <x:f>Trading_Raw!D21</x:f>
        <x:v>Bybit</x:v>
      </x:c>
      <x:c r="E21" t="str">
        <x:f>Trading_Raw!E21</x:f>
        <x:v>1h</x:v>
      </x:c>
      <x:c r="F21" t="str">
        <x:f>Trading_Raw!F21</x:f>
        <x:v>Long</x:v>
      </x:c>
      <x:c r="G21" t="n">
        <x:f>Trading_Raw!G21</x:f>
        <x:v>0.442781</x:v>
      </x:c>
      <x:c r="H21" t="n">
        <x:f>Trading_Raw!H21</x:f>
        <x:v>0.435947</x:v>
      </x:c>
      <x:c r="I21" t="n">
        <x:f>Trading_Raw!I21</x:f>
        <x:v>0.431787</x:v>
      </x:c>
      <x:c r="J21" t="n">
        <x:f>Trading_Raw!J21</x:f>
        <x:v>0.451766</x:v>
      </x:c>
      <x:c r="K21" t="n">
        <x:f>Trading_Raw!K21</x:f>
        <x:v>250</x:v>
      </x:c>
      <x:c r="L21" t="n">
        <x:f>Trading_Raw!L21</x:f>
        <x:v>2</x:v>
      </x:c>
      <x:c r="M21" t="n">
        <x:f>Trading_Raw!M21</x:f>
        <x:v>0.4</x:v>
      </x:c>
      <x:c r="N21" t="str">
        <x:f>Trading_Raw!N21</x:f>
        <x:v>OB retest</x:v>
      </x:c>
      <x:c r="O21" t="str">
        <x:f>Trading_Raw!O21</x:f>
        <x:v>None</x:v>
      </x:c>
      <x:c r="P21" s="76" t="n">
        <x:f>IF(F21="Long",(H21-G21)/G21*K21*L21,(G21-H21)/G21*K21*L21)-M21</x:f>
        <x:v>-8.117133300661058</x:v>
      </x:c>
      <x:c r="Q21" s="78" t="n">
        <x:f>P21/K21</x:f>
        <x:v>-0.03246853320264423</x:v>
      </x:c>
      <x:c r="R21" s="78" t="n">
        <x:f>IF(F21="Long",(G21-I21)/G21,(I21-G21)/G21)</x:f>
        <x:v>0.024829430350444135</x:v>
      </x:c>
      <x:c r="S21" s="78" t="n">
        <x:f>IF(F21="Long",(J21-G21)/G21,(G21-J21)/G21)</x:f>
        <x:v>0.02029219862640904</x:v>
      </x:c>
      <x:c r="T21" s="80" t="n">
        <x:f>IFERROR(P21/(K21*L21*R21),0)</x:f>
        <x:v>-0.6538316172457709</x:v>
      </x:c>
      <x:c r="U21" t="str">
        <x:f>IF(P21&gt;0,"Win",IF(P21&lt;0,"Loss","Breakeven"))</x:f>
        <x:v>Loss</x:v>
      </x:c>
      <x:c r="V21" s="76" t="n">
        <x:f>SUM($P$5:P21)</x:f>
        <x:v>169.33297449770663</x:v>
      </x:c>
    </x:row>
    <x:row r="22">
      <x:c r="A22" t="n">
        <x:f>Trading_Raw!A22</x:f>
        <x:v>18</x:v>
      </x:c>
      <x:c r="B22" s="72" t="n">
        <x:f>Trading_Raw!B22</x:f>
        <x:v>46087.958333333336</x:v>
      </x:c>
      <x:c r="C22" t="str">
        <x:f>Trading_Raw!C22</x:f>
        <x:v>ADAUSDT</x:v>
      </x:c>
      <x:c r="D22" t="str">
        <x:f>Trading_Raw!D22</x:f>
        <x:v>Bybit</x:v>
      </x:c>
      <x:c r="E22" t="str">
        <x:f>Trading_Raw!E22</x:f>
        <x:v>1h</x:v>
      </x:c>
      <x:c r="F22" t="str">
        <x:f>Trading_Raw!F22</x:f>
        <x:v>Short</x:v>
      </x:c>
      <x:c r="G22" t="n">
        <x:f>Trading_Raw!G22</x:f>
        <x:v>0.547431</x:v>
      </x:c>
      <x:c r="H22" t="n">
        <x:f>Trading_Raw!H22</x:f>
        <x:v>0.569348</x:v>
      </x:c>
      <x:c r="I22" t="n">
        <x:f>Trading_Raw!I22</x:f>
        <x:v>0.557518</x:v>
      </x:c>
      <x:c r="J22" t="n">
        <x:f>Trading_Raw!J22</x:f>
        <x:v>0.521277</x:v>
      </x:c>
      <x:c r="K22" t="n">
        <x:f>Trading_Raw!K22</x:f>
        <x:v>250</x:v>
      </x:c>
      <x:c r="L22" t="n">
        <x:f>Trading_Raw!L22</x:f>
        <x:v>2</x:v>
      </x:c>
      <x:c r="M22" t="n">
        <x:f>Trading_Raw!M22</x:f>
        <x:v>0.4</x:v>
      </x:c>
      <x:c r="N22" t="str">
        <x:f>Trading_Raw!N22</x:f>
        <x:v>Range deviation</x:v>
      </x:c>
      <x:c r="O22" t="str">
        <x:f>Trading_Raw!O22</x:f>
        <x:v>Moved SL</x:v>
      </x:c>
      <x:c r="P22" s="76" t="n">
        <x:f>IF(F22="Long",(H22-G22)/G22*K22*L22,(G22-H22)/G22*K22*L22)-M22</x:f>
        <x:v>-20.418047936634903</x:v>
      </x:c>
      <x:c r="Q22" s="78" t="n">
        <x:f>P22/K22</x:f>
        <x:v>-0.08167219174653961</x:v>
      </x:c>
      <x:c r="R22" s="78" t="n">
        <x:f>IF(F22="Long",(G22-I22)/G22,(I22-G22)/G22)</x:f>
        <x:v>0.018426066481437766</x:v>
      </x:c>
      <x:c r="S22" s="78" t="n">
        <x:f>IF(F22="Long",(J22-G22)/G22,(G22-J22)/G22)</x:f>
        <x:v>0.047775884084021565</x:v>
      </x:c>
      <x:c r="T22" s="80" t="n">
        <x:f>IFERROR(P22/(K22*L22*R22),0)</x:f>
        <x:v>-2.2162134232180093</x:v>
      </x:c>
      <x:c r="U22" t="str">
        <x:f>IF(P22&gt;0,"Win",IF(P22&lt;0,"Loss","Breakeven"))</x:f>
        <x:v>Loss</x:v>
      </x:c>
      <x:c r="V22" s="76" t="n">
        <x:f>SUM($P$5:P22)</x:f>
        <x:v>148.91492656107172</x:v>
      </x:c>
    </x:row>
    <x:row r="23">
      <x:c r="A23" t="n">
        <x:f>Trading_Raw!A23</x:f>
        <x:v>19</x:v>
      </x:c>
      <x:c r="B23" s="72" t="n">
        <x:f>Trading_Raw!B23</x:f>
        <x:v>46085.25</x:v>
      </x:c>
      <x:c r="C23" t="str">
        <x:f>Trading_Raw!C23</x:f>
        <x:v>FARTCOINUSDT</x:v>
      </x:c>
      <x:c r="D23" t="str">
        <x:f>Trading_Raw!D23</x:f>
        <x:v>Bybit</x:v>
      </x:c>
      <x:c r="E23" t="str">
        <x:f>Trading_Raw!E23</x:f>
        <x:v>3m</x:v>
      </x:c>
      <x:c r="F23" t="str">
        <x:f>Trading_Raw!F23</x:f>
        <x:v>Short</x:v>
      </x:c>
      <x:c r="G23" t="n">
        <x:f>Trading_Raw!G23</x:f>
        <x:v>0.179174</x:v>
      </x:c>
      <x:c r="H23" t="n">
        <x:f>Trading_Raw!H23</x:f>
        <x:v>0.176057</x:v>
      </x:c>
      <x:c r="I23" t="n">
        <x:f>Trading_Raw!I23</x:f>
        <x:v>0.182804</x:v>
      </x:c>
      <x:c r="J23" t="n">
        <x:f>Trading_Raw!J23</x:f>
        <x:v>0.176335</x:v>
      </x:c>
      <x:c r="K23" t="n">
        <x:f>Trading_Raw!K23</x:f>
        <x:v>300</x:v>
      </x:c>
      <x:c r="L23" t="n">
        <x:f>Trading_Raw!L23</x:f>
        <x:v>10</x:v>
      </x:c>
      <x:c r="M23" t="n">
        <x:f>Trading_Raw!M23</x:f>
        <x:v>2.4</x:v>
      </x:c>
      <x:c r="N23" t="str">
        <x:f>Trading_Raw!N23</x:f>
        <x:v>CVD divergence</x:v>
      </x:c>
      <x:c r="O23" t="str">
        <x:f>Trading_Raw!O23</x:f>
        <x:v>Ignored funding</x:v>
      </x:c>
      <x:c r="P23" s="76" t="n">
        <x:f>IF(F23="Long",(H23-G23)/G23*K23*L23,(G23-H23)/G23*K23*L23)-M23</x:f>
        <x:v>49.78949177894129</x:v>
      </x:c>
      <x:c r="Q23" s="78" t="n">
        <x:f>P23/K23</x:f>
        <x:v>0.16596497259647097</x:v>
      </x:c>
      <x:c r="R23" s="78" t="n">
        <x:f>IF(F23="Long",(G23-I23)/G23,(I23-G23)/G23)</x:f>
        <x:v>0.020259635884670734</x:v>
      </x:c>
      <x:c r="S23" s="78" t="n">
        <x:f>IF(F23="Long",(J23-G23)/G23,(G23-J23)/G23)</x:f>
        <x:v>0.015844932858562113</x:v>
      </x:c>
      <x:c r="T23" s="80" t="n">
        <x:f>IFERROR(P23/(K23*L23*R23),0)</x:f>
        <x:v>0.8191903030303068</x:v>
      </x:c>
      <x:c r="U23" t="str">
        <x:f>IF(P23&gt;0,"Win",IF(P23&lt;0,"Loss","Breakeven"))</x:f>
        <x:v>Win</x:v>
      </x:c>
      <x:c r="V23" s="76" t="n">
        <x:f>SUM($P$5:P23)</x:f>
        <x:v>198.704418340013</x:v>
      </x:c>
    </x:row>
    <x:row r="24">
      <x:c r="A24" t="n">
        <x:f>Trading_Raw!A24</x:f>
        <x:v>20</x:v>
      </x:c>
      <x:c r="B24" s="72" t="n">
        <x:f>Trading_Raw!B24</x:f>
        <x:v>46046.791666666664</x:v>
      </x:c>
      <x:c r="C24" t="str">
        <x:f>Trading_Raw!C24</x:f>
        <x:v>BNBUSDT</x:v>
      </x:c>
      <x:c r="D24" t="str">
        <x:f>Trading_Raw!D24</x:f>
        <x:v>Bybit</x:v>
      </x:c>
      <x:c r="E24" t="str">
        <x:f>Trading_Raw!E24</x:f>
        <x:v>3m</x:v>
      </x:c>
      <x:c r="F24" t="str">
        <x:f>Trading_Raw!F24</x:f>
        <x:v>Short</x:v>
      </x:c>
      <x:c r="G24" t="n">
        <x:f>Trading_Raw!G24</x:f>
        <x:v>528.924559</x:v>
      </x:c>
      <x:c r="H24" t="n">
        <x:f>Trading_Raw!H24</x:f>
        <x:v>526.094284</x:v>
      </x:c>
      <x:c r="I24" t="n">
        <x:f>Trading_Raw!I24</x:f>
        <x:v>540.793067</x:v>
      </x:c>
      <x:c r="J24" t="n">
        <x:f>Trading_Raw!J24</x:f>
        <x:v>502.14627</x:v>
      </x:c>
      <x:c r="K24" t="n">
        <x:f>Trading_Raw!K24</x:f>
        <x:v>200</x:v>
      </x:c>
      <x:c r="L24" t="n">
        <x:f>Trading_Raw!L24</x:f>
        <x:v>5</x:v>
      </x:c>
      <x:c r="M24" t="n">
        <x:f>Trading_Raw!M24</x:f>
        <x:v>0.8</x:v>
      </x:c>
      <x:c r="N24" t="str">
        <x:f>Trading_Raw!N24</x:f>
        <x:v>CVD divergence</x:v>
      </x:c>
      <x:c r="O24" t="str">
        <x:f>Trading_Raw!O24</x:f>
        <x:v>Moved SL</x:v>
      </x:c>
      <x:c r="P24" s="76" t="n">
        <x:f>IF(F24="Long",(H24-G24)/G24*K24*L24,(G24-H24)/G24*K24*L24)-M24</x:f>
        <x:v>4.550999404056843</x:v>
      </x:c>
      <x:c r="Q24" s="78" t="n">
        <x:f>P24/K24</x:f>
        <x:v>0.022754997020284214</x:v>
      </x:c>
      <x:c r="R24" s="78" t="n">
        <x:f>IF(F24="Long",(G24-I24)/G24,(I24-G24)/G24)</x:f>
        <x:v>0.022438942941955368</x:v>
      </x:c>
      <x:c r="S24" s="78" t="n">
        <x:f>IF(F24="Long",(J24-G24)/G24,(G24-J24)/G24)</x:f>
        <x:v>0.050627804181805874</x:v>
      </x:c>
      <x:c r="T24" s="80" t="n">
        <x:f>IFERROR(P24/(K24*L24*R24),0)</x:f>
        <x:v>0.20281701396671323</x:v>
      </x:c>
      <x:c r="U24" t="str">
        <x:f>IF(P24&gt;0,"Win",IF(P24&lt;0,"Loss","Breakeven"))</x:f>
        <x:v>Win</x:v>
      </x:c>
      <x:c r="V24" s="76" t="n">
        <x:f>SUM($P$5:P24)</x:f>
        <x:v>203.25541774406986</x:v>
      </x:c>
    </x:row>
    <x:row r="25">
      <x:c r="A25" t="n">
        <x:f>Trading_Raw!A25</x:f>
        <x:v>21</x:v>
      </x:c>
      <x:c r="B25" s="72" t="n">
        <x:f>Trading_Raw!B25</x:f>
        <x:v>46065.5</x:v>
      </x:c>
      <x:c r="C25" t="str">
        <x:f>Trading_Raw!C25</x:f>
        <x:v>ETHUSDT</x:v>
      </x:c>
      <x:c r="D25" t="str">
        <x:f>Trading_Raw!D25</x:f>
        <x:v>OKX</x:v>
      </x:c>
      <x:c r="E25" t="str">
        <x:f>Trading_Raw!E25</x:f>
        <x:v>15m</x:v>
      </x:c>
      <x:c r="F25" t="str">
        <x:f>Trading_Raw!F25</x:f>
        <x:v>Short</x:v>
      </x:c>
      <x:c r="G25" t="n">
        <x:f>Trading_Raw!G25</x:f>
        <x:v>3217.137215</x:v>
      </x:c>
      <x:c r="H25" t="n">
        <x:f>Trading_Raw!H25</x:f>
        <x:v>3253.243061</x:v>
      </x:c>
      <x:c r="I25" t="n">
        <x:f>Trading_Raw!I25</x:f>
        <x:v>3252.829001</x:v>
      </x:c>
      <x:c r="J25" t="n">
        <x:f>Trading_Raw!J25</x:f>
        <x:v>3082.517084</x:v>
      </x:c>
      <x:c r="K25" t="n">
        <x:f>Trading_Raw!K25</x:f>
        <x:v>150</x:v>
      </x:c>
      <x:c r="L25" t="n">
        <x:f>Trading_Raw!L25</x:f>
        <x:v>2</x:v>
      </x:c>
      <x:c r="M25" t="n">
        <x:f>Trading_Raw!M25</x:f>
        <x:v>0.24</x:v>
      </x:c>
      <x:c r="N25" t="str">
        <x:f>Trading_Raw!N25</x:f>
        <x:v>Liquidity sweep</x:v>
      </x:c>
      <x:c r="O25" t="str">
        <x:f>Trading_Raw!O25</x:f>
        <x:v>None</x:v>
      </x:c>
      <x:c r="P25" s="76" t="n">
        <x:f>IF(F25="Long",(H25-G25)/G25*K25*L25,(G25-H25)/G25*K25*L25)-M25</x:f>
        <x:v>-3.6068920770604986</x:v>
      </x:c>
      <x:c r="Q25" s="78" t="n">
        <x:f>P25/K25</x:f>
        <x:v>-0.024045947180403326</x:v>
      </x:c>
      <x:c r="R25" s="78" t="n">
        <x:f>IF(F25="Long",(G25-I25)/G25,(I25-G25)/G25)</x:f>
        <x:v>0.01109426910160556</x:v>
      </x:c>
      <x:c r="S25" s="78" t="n">
        <x:f>IF(F25="Long",(J25-G25)/G25,(G25-J25)/G25)</x:f>
        <x:v>0.04184469669876985</x:v>
      </x:c>
      <x:c r="T25" s="80" t="n">
        <x:f>IFERROR(P25/(K25*L25*R25),0)</x:f>
        <x:v>-1.0837102904292903</x:v>
      </x:c>
      <x:c r="U25" t="str">
        <x:f>IF(P25&gt;0,"Win",IF(P25&lt;0,"Loss","Breakeven"))</x:f>
        <x:v>Loss</x:v>
      </x:c>
      <x:c r="V25" s="76" t="n">
        <x:f>SUM($P$5:P25)</x:f>
        <x:v>199.64852566700935</x:v>
      </x:c>
    </x:row>
    <x:row r="26">
      <x:c r="A26" t="n">
        <x:f>Trading_Raw!A26</x:f>
        <x:v>22</x:v>
      </x:c>
      <x:c r="B26" s="72" t="n">
        <x:f>Trading_Raw!B26</x:f>
        <x:v>46141.291666666664</x:v>
      </x:c>
      <x:c r="C26" t="str">
        <x:f>Trading_Raw!C26</x:f>
        <x:v>ADAUSDT</x:v>
      </x:c>
      <x:c r="D26" t="str">
        <x:f>Trading_Raw!D26</x:f>
        <x:v>OKX</x:v>
      </x:c>
      <x:c r="E26" t="str">
        <x:f>Trading_Raw!E26</x:f>
        <x:v>15m</x:v>
      </x:c>
      <x:c r="F26" t="str">
        <x:f>Trading_Raw!F26</x:f>
        <x:v>Long</x:v>
      </x:c>
      <x:c r="G26" t="n">
        <x:f>Trading_Raw!G26</x:f>
        <x:v>0.463628</x:v>
      </x:c>
      <x:c r="H26" t="n">
        <x:f>Trading_Raw!H26</x:f>
        <x:v>0.464762</x:v>
      </x:c>
      <x:c r="I26" t="n">
        <x:f>Trading_Raw!I26</x:f>
        <x:v>0.45866</x:v>
      </x:c>
      <x:c r="J26" t="n">
        <x:f>Trading_Raw!J26</x:f>
        <x:v>0.479949</x:v>
      </x:c>
      <x:c r="K26" t="n">
        <x:f>Trading_Raw!K26</x:f>
        <x:v>250</x:v>
      </x:c>
      <x:c r="L26" t="n">
        <x:f>Trading_Raw!L26</x:f>
        <x:v>10</x:v>
      </x:c>
      <x:c r="M26" t="n">
        <x:f>Trading_Raw!M26</x:f>
        <x:v>2</x:v>
      </x:c>
      <x:c r="N26" t="str">
        <x:f>Trading_Raw!N26</x:f>
        <x:v>CVD divergence</x:v>
      </x:c>
      <x:c r="O26" t="str">
        <x:f>Trading_Raw!O26</x:f>
        <x:v>Late entry</x:v>
      </x:c>
      <x:c r="P26" s="76" t="n">
        <x:f>IF(F26="Long",(H26-G26)/G26*K26*L26,(G26-H26)/G26*K26*L26)-M26</x:f>
        <x:v>4.114816188841184</x:v>
      </x:c>
      <x:c r="Q26" s="78" t="n">
        <x:f>P26/K26</x:f>
        <x:v>0.016459264755364734</x:v>
      </x:c>
      <x:c r="R26" s="78" t="n">
        <x:f>IF(F26="Long",(G26-I26)/G26,(I26-G26)/G26)</x:f>
        <x:v>0.010715487416635692</x:v>
      </x:c>
      <x:c r="S26" s="78" t="n">
        <x:f>IF(F26="Long",(J26-G26)/G26,(G26-J26)/G26)</x:f>
        <x:v>0.03520279189350089</x:v>
      </x:c>
      <x:c r="T26" s="80" t="n">
        <x:f>IFERROR(P26/(K26*L26*R26),0)</x:f>
        <x:v>0.15360257648953873</x:v>
      </x:c>
      <x:c r="U26" t="str">
        <x:f>IF(P26&gt;0,"Win",IF(P26&lt;0,"Loss","Breakeven"))</x:f>
        <x:v>Win</x:v>
      </x:c>
      <x:c r="V26" s="76" t="n">
        <x:f>SUM($P$5:P26)</x:f>
        <x:v>203.76334185585054</x:v>
      </x:c>
    </x:row>
    <x:row r="27">
      <x:c r="A27" t="n">
        <x:f>Trading_Raw!A27</x:f>
        <x:v>23</x:v>
      </x:c>
      <x:c r="B27" s="72" t="n">
        <x:f>Trading_Raw!B27</x:f>
        <x:v>46154.833333333336</x:v>
      </x:c>
      <x:c r="C27" t="str">
        <x:f>Trading_Raw!C27</x:f>
        <x:v>ADAUSDT</x:v>
      </x:c>
      <x:c r="D27" t="str">
        <x:f>Trading_Raw!D27</x:f>
        <x:v>OKX</x:v>
      </x:c>
      <x:c r="E27" t="str">
        <x:f>Trading_Raw!E27</x:f>
        <x:v>15m</x:v>
      </x:c>
      <x:c r="F27" t="str">
        <x:f>Trading_Raw!F27</x:f>
        <x:v>Short</x:v>
      </x:c>
      <x:c r="G27" t="n">
        <x:f>Trading_Raw!G27</x:f>
        <x:v>0.478931</x:v>
      </x:c>
      <x:c r="H27" t="n">
        <x:f>Trading_Raw!H27</x:f>
        <x:v>0.476545</x:v>
      </x:c>
      <x:c r="I27" t="n">
        <x:f>Trading_Raw!I27</x:f>
        <x:v>0.488935</x:v>
      </x:c>
      <x:c r="J27" t="n">
        <x:f>Trading_Raw!J27</x:f>
        <x:v>0.466341</x:v>
      </x:c>
      <x:c r="K27" t="n">
        <x:f>Trading_Raw!K27</x:f>
        <x:v>100</x:v>
      </x:c>
      <x:c r="L27" t="n">
        <x:f>Trading_Raw!L27</x:f>
        <x:v>1</x:v>
      </x:c>
      <x:c r="M27" t="n">
        <x:f>Trading_Raw!M27</x:f>
        <x:v>0.08</x:v>
      </x:c>
      <x:c r="N27" t="str">
        <x:f>Trading_Raw!N27</x:f>
        <x:v>Trend continuation</x:v>
      </x:c>
      <x:c r="O27" t="str">
        <x:f>Trading_Raw!O27</x:f>
        <x:v>No HTF confirmation</x:v>
      </x:c>
      <x:c r="P27" s="76" t="n">
        <x:f>IF(F27="Long",(H27-G27)/G27*K27*L27,(G27-H27)/G27*K27*L27)-M27</x:f>
        <x:v>0.4181928503270824</x:v>
      </x:c>
      <x:c r="Q27" s="78" t="n">
        <x:f>P27/K27</x:f>
        <x:v>0.004181928503270824</x:v>
      </x:c>
      <x:c r="R27" s="78" t="n">
        <x:f>IF(F27="Long",(G27-I27)/G27,(I27-G27)/G27)</x:f>
        <x:v>0.02088818639845826</x:v>
      </x:c>
      <x:c r="S27" s="78" t="n">
        <x:f>IF(F27="Long",(J27-G27)/G27,(G27-J27)/G27)</x:f>
        <x:v>0.026287711591022486</x:v>
      </x:c>
      <x:c r="T27" s="80" t="n">
        <x:f>IFERROR(P27/(K27*L27*R27),0)</x:f>
        <x:v>0.20020543782486971</x:v>
      </x:c>
      <x:c r="U27" t="str">
        <x:f>IF(P27&gt;0,"Win",IF(P27&lt;0,"Loss","Breakeven"))</x:f>
        <x:v>Win</x:v>
      </x:c>
      <x:c r="V27" s="76" t="n">
        <x:f>SUM($P$5:P27)</x:f>
        <x:v>204.18153470617762</x:v>
      </x:c>
    </x:row>
    <x:row r="28">
      <x:c r="A28" t="n">
        <x:f>Trading_Raw!A28</x:f>
        <x:v>24</x:v>
      </x:c>
      <x:c r="B28" s="72" t="n">
        <x:f>Trading_Raw!B28</x:f>
        <x:v>46126.125</x:v>
      </x:c>
      <x:c r="C28" t="str">
        <x:f>Trading_Raw!C28</x:f>
        <x:v>SOLUSDT</x:v>
      </x:c>
      <x:c r="D28" t="str">
        <x:f>Trading_Raw!D28</x:f>
        <x:v>Bybit</x:v>
      </x:c>
      <x:c r="E28" t="str">
        <x:f>Trading_Raw!E28</x:f>
        <x:v>5m</x:v>
      </x:c>
      <x:c r="F28" t="str">
        <x:f>Trading_Raw!F28</x:f>
        <x:v>Short</x:v>
      </x:c>
      <x:c r="G28" t="n">
        <x:f>Trading_Raw!G28</x:f>
        <x:v>165.393452</x:v>
      </x:c>
      <x:c r="H28" t="n">
        <x:f>Trading_Raw!H28</x:f>
        <x:v>167.738781</x:v>
      </x:c>
      <x:c r="I28" t="n">
        <x:f>Trading_Raw!I28</x:f>
        <x:v>168.831589</x:v>
      </x:c>
      <x:c r="J28" t="n">
        <x:f>Trading_Raw!J28</x:f>
        <x:v>161.103974</x:v>
      </x:c>
      <x:c r="K28" t="n">
        <x:f>Trading_Raw!K28</x:f>
        <x:v>300</x:v>
      </x:c>
      <x:c r="L28" t="n">
        <x:f>Trading_Raw!L28</x:f>
        <x:v>1</x:v>
      </x:c>
      <x:c r="M28" t="n">
        <x:f>Trading_Raw!M28</x:f>
        <x:v>0.24</x:v>
      </x:c>
      <x:c r="N28" t="str">
        <x:f>Trading_Raw!N28</x:f>
        <x:v>OB retest</x:v>
      </x:c>
      <x:c r="O28" t="str">
        <x:f>Trading_Raw!O28</x:f>
        <x:v>Moved SL</x:v>
      </x:c>
      <x:c r="P28" s="76" t="n">
        <x:f>IF(F28="Long",(H28-G28)/G28*K28*L28,(G28-H28)/G28*K28*L28)-M28</x:f>
        <x:v>-4.4940904219110065</x:v>
      </x:c>
      <x:c r="Q28" s="78" t="n">
        <x:f>P28/K28</x:f>
        <x:v>-0.014980301406370022</x:v>
      </x:c>
      <x:c r="R28" s="78" t="n">
        <x:f>IF(F28="Long",(G28-I28)/G28,(I28-G28)/G28)</x:f>
        <x:v>0.020787624651549156</x:v>
      </x:c>
      <x:c r="S28" s="78" t="n">
        <x:f>IF(F28="Long",(J28-G28)/G28,(G28-J28)/G28)</x:f>
        <x:v>0.025934992879887424</x:v>
      </x:c>
      <x:c r="T28" s="80" t="n">
        <x:f>IFERROR(P28/(K28*L28*R28),0)</x:f>
        <x:v>-0.7206355539642498</x:v>
      </x:c>
      <x:c r="U28" t="str">
        <x:f>IF(P28&gt;0,"Win",IF(P28&lt;0,"Loss","Breakeven"))</x:f>
        <x:v>Loss</x:v>
      </x:c>
      <x:c r="V28" s="76" t="n">
        <x:f>SUM($P$5:P28)</x:f>
        <x:v>199.6874442842666</x:v>
      </x:c>
    </x:row>
    <x:row r="29">
      <x:c r="A29" t="n">
        <x:f>Trading_Raw!A29</x:f>
        <x:v>25</x:v>
      </x:c>
      <x:c r="B29" s="72" t="n">
        <x:f>Trading_Raw!B29</x:f>
        <x:v>46159.458333333336</x:v>
      </x:c>
      <x:c r="C29" t="str">
        <x:f>Trading_Raw!C29</x:f>
        <x:v>SOLUSDT</x:v>
      </x:c>
      <x:c r="D29" t="str">
        <x:f>Trading_Raw!D29</x:f>
        <x:v>Binance</x:v>
      </x:c>
      <x:c r="E29" t="str">
        <x:f>Trading_Raw!E29</x:f>
        <x:v>5m</x:v>
      </x:c>
      <x:c r="F29" t="str">
        <x:f>Trading_Raw!F29</x:f>
        <x:v>Long</x:v>
      </x:c>
      <x:c r="G29" t="n">
        <x:f>Trading_Raw!G29</x:f>
        <x:v>139.75598</x:v>
      </x:c>
      <x:c r="H29" t="n">
        <x:f>Trading_Raw!H29</x:f>
        <x:v>144.723368</x:v>
      </x:c>
      <x:c r="I29" t="n">
        <x:f>Trading_Raw!I29</x:f>
        <x:v>138.047319</x:v>
      </x:c>
      <x:c r="J29" t="n">
        <x:f>Trading_Raw!J29</x:f>
        <x:v>144.734623</x:v>
      </x:c>
      <x:c r="K29" t="n">
        <x:f>Trading_Raw!K29</x:f>
        <x:v>300</x:v>
      </x:c>
      <x:c r="L29" t="n">
        <x:f>Trading_Raw!L29</x:f>
        <x:v>1</x:v>
      </x:c>
      <x:c r="M29" t="n">
        <x:f>Trading_Raw!M29</x:f>
        <x:v>0.24</x:v>
      </x:c>
      <x:c r="N29" t="str">
        <x:f>Trading_Raw!N29</x:f>
        <x:v>Liquidity sweep</x:v>
      </x:c>
      <x:c r="O29" t="str">
        <x:f>Trading_Raw!O29</x:f>
        <x:v>Moved SL</x:v>
      </x:c>
      <x:c r="P29" s="76" t="n">
        <x:f>IF(F29="Long",(H29-G29)/G29*K29*L29,(G29-H29)/G29*K29*L29)-M29</x:f>
        <x:v>10.422988446004243</x:v>
      </x:c>
      <x:c r="Q29" s="78" t="n">
        <x:f>P29/K29</x:f>
        <x:v>0.03474329482001415</x:v>
      </x:c>
      <x:c r="R29" s="78" t="n">
        <x:f>IF(F29="Long",(G29-I29)/G29,(I29-G29)/G29)</x:f>
        <x:v>0.012226031401303948</x:v>
      </x:c>
      <x:c r="S29" s="78" t="n">
        <x:f>IF(F29="Long",(J29-G29)/G29,(G29-J29)/G29)</x:f>
        <x:v>0.035623828046570924</x:v>
      </x:c>
      <x:c r="T29" s="80" t="n">
        <x:f>IFERROR(P29/(K29*L29*R29),0)</x:f>
        <x:v>2.8417475532010044</x:v>
      </x:c>
      <x:c r="U29" t="str">
        <x:f>IF(P29&gt;0,"Win",IF(P29&lt;0,"Loss","Breakeven"))</x:f>
        <x:v>Win</x:v>
      </x:c>
      <x:c r="V29" s="76" t="n">
        <x:f>SUM($P$5:P29)</x:f>
        <x:v>210.11043273027084</x:v>
      </x:c>
    </x:row>
    <x:row r="30">
      <x:c r="A30" t="n">
        <x:f>Trading_Raw!A30</x:f>
        <x:v>26</x:v>
      </x:c>
      <x:c r="B30" s="72" t="n">
        <x:f>Trading_Raw!B30</x:f>
        <x:v>46080.5</x:v>
      </x:c>
      <x:c r="C30" t="str">
        <x:f>Trading_Raw!C30</x:f>
        <x:v>FARTCOINUSDT</x:v>
      </x:c>
      <x:c r="D30" t="str">
        <x:f>Trading_Raw!D30</x:f>
        <x:v>OKX</x:v>
      </x:c>
      <x:c r="E30" t="str">
        <x:f>Trading_Raw!E30</x:f>
        <x:v>1h</x:v>
      </x:c>
      <x:c r="F30" t="str">
        <x:f>Trading_Raw!F30</x:f>
        <x:v>Short</x:v>
      </x:c>
      <x:c r="G30" t="n">
        <x:f>Trading_Raw!G30</x:f>
        <x:v>0.180898</x:v>
      </x:c>
      <x:c r="H30" t="n">
        <x:f>Trading_Raw!H30</x:f>
        <x:v>0.189185</x:v>
      </x:c>
      <x:c r="I30" t="n">
        <x:f>Trading_Raw!I30</x:f>
        <x:v>0.182607</x:v>
      </x:c>
      <x:c r="J30" t="n">
        <x:f>Trading_Raw!J30</x:f>
        <x:v>0.172187</x:v>
      </x:c>
      <x:c r="K30" t="n">
        <x:f>Trading_Raw!K30</x:f>
        <x:v>200</x:v>
      </x:c>
      <x:c r="L30" t="n">
        <x:f>Trading_Raw!L30</x:f>
        <x:v>3</x:v>
      </x:c>
      <x:c r="M30" t="n">
        <x:f>Trading_Raw!M30</x:f>
        <x:v>0.48</x:v>
      </x:c>
      <x:c r="N30" t="str">
        <x:f>Trading_Raw!N30</x:f>
        <x:v>CVD divergence</x:v>
      </x:c>
      <x:c r="O30" t="str">
        <x:f>Trading_Raw!O30</x:f>
        <x:v>None</x:v>
      </x:c>
      <x:c r="P30" s="76" t="n">
        <x:f>IF(F30="Long",(H30-G30)/G30*K30*L30,(G30-H30)/G30*K30*L30)-M30</x:f>
        <x:v>-27.966207697155266</x:v>
      </x:c>
      <x:c r="Q30" s="78" t="n">
        <x:f>P30/K30</x:f>
        <x:v>-0.13983103848577633</x:v>
      </x:c>
      <x:c r="R30" s="78" t="n">
        <x:f>IF(F30="Long",(G30-I30)/G30,(I30-G30)/G30)</x:f>
        <x:v>0.009447312850335484</x:v>
      </x:c>
      <x:c r="S30" s="78" t="n">
        <x:f>IF(F30="Long",(J30-G30)/G30,(G30-J30)/G30)</x:f>
        <x:v>0.048154208448960165</x:v>
      </x:c>
      <x:c r="T30" s="80" t="n">
        <x:f>IFERROR(P30/(K30*L30*R30),0)</x:f>
        <x:v>-4.933714686951461</x:v>
      </x:c>
      <x:c r="U30" t="str">
        <x:f>IF(P30&gt;0,"Win",IF(P30&lt;0,"Loss","Breakeven"))</x:f>
        <x:v>Loss</x:v>
      </x:c>
      <x:c r="V30" s="76" t="n">
        <x:f>SUM($P$5:P30)</x:f>
        <x:v>182.1442250331156</x:v>
      </x:c>
    </x:row>
    <x:row r="31">
      <x:c r="A31" t="n">
        <x:f>Trading_Raw!A31</x:f>
        <x:v>27</x:v>
      </x:c>
      <x:c r="B31" s="72" t="n">
        <x:f>Trading_Raw!B31</x:f>
        <x:v>46110.375</x:v>
      </x:c>
      <x:c r="C31" t="str">
        <x:f>Trading_Raw!C31</x:f>
        <x:v>WLFIUSDT</x:v>
      </x:c>
      <x:c r="D31" t="str">
        <x:f>Trading_Raw!D31</x:f>
        <x:v>OKX</x:v>
      </x:c>
      <x:c r="E31" t="str">
        <x:f>Trading_Raw!E31</x:f>
        <x:v>15m</x:v>
      </x:c>
      <x:c r="F31" t="str">
        <x:f>Trading_Raw!F31</x:f>
        <x:v>Short</x:v>
      </x:c>
      <x:c r="G31" t="n">
        <x:f>Trading_Raw!G31</x:f>
        <x:v>0.051064</x:v>
      </x:c>
      <x:c r="H31" t="n">
        <x:f>Trading_Raw!H31</x:f>
        <x:v>0.051238</x:v>
      </x:c>
      <x:c r="I31" t="n">
        <x:f>Trading_Raw!I31</x:f>
        <x:v>0.051563</x:v>
      </x:c>
      <x:c r="J31" t="n">
        <x:f>Trading_Raw!J31</x:f>
        <x:v>0.04827</x:v>
      </x:c>
      <x:c r="K31" t="n">
        <x:f>Trading_Raw!K31</x:f>
        <x:v>250</x:v>
      </x:c>
      <x:c r="L31" t="n">
        <x:f>Trading_Raw!L31</x:f>
        <x:v>10</x:v>
      </x:c>
      <x:c r="M31" t="n">
        <x:f>Trading_Raw!M31</x:f>
        <x:v>2</x:v>
      </x:c>
      <x:c r="N31" t="str">
        <x:f>Trading_Raw!N31</x:f>
        <x:v>Range deviation</x:v>
      </x:c>
      <x:c r="O31" t="str">
        <x:f>Trading_Raw!O31</x:f>
        <x:v>No HTF confirmation</x:v>
      </x:c>
      <x:c r="P31" s="76" t="n">
        <x:f>IF(F31="Long",(H31-G31)/G31*K31*L31,(G31-H31)/G31*K31*L31)-M31</x:f>
        <x:v>-10.518721604261346</x:v>
      </x:c>
      <x:c r="Q31" s="78" t="n">
        <x:f>P31/K31</x:f>
        <x:v>-0.04207488641704538</x:v>
      </x:c>
      <x:c r="R31" s="78" t="n">
        <x:f>IF(F31="Long",(G31-I31)/G31,(I31-G31)/G31)</x:f>
        <x:v>0.00977205075983079</x:v>
      </x:c>
      <x:c r="S31" s="78" t="n">
        <x:f>IF(F31="Long",(J31-G31)/G31,(G31-J31)/G31)</x:f>
        <x:v>0.05471565094783013</x:v>
      </x:c>
      <x:c r="T31" s="80" t="n">
        <x:f>IFERROR(P31/(K31*L31*R31),0)</x:f>
        <x:v>-0.43056352705410983</x:v>
      </x:c>
      <x:c r="U31" t="str">
        <x:f>IF(P31&gt;0,"Win",IF(P31&lt;0,"Loss","Breakeven"))</x:f>
        <x:v>Loss</x:v>
      </x:c>
      <x:c r="V31" s="76" t="n">
        <x:f>SUM($P$5:P31)</x:f>
        <x:v>171.62550342885424</x:v>
      </x:c>
    </x:row>
    <x:row r="32">
      <x:c r="A32" t="n">
        <x:f>Trading_Raw!A32</x:f>
        <x:v>28</x:v>
      </x:c>
      <x:c r="B32" s="72" t="n">
        <x:f>Trading_Raw!B32</x:f>
        <x:v>46139.708333333336</x:v>
      </x:c>
      <x:c r="C32" t="str">
        <x:f>Trading_Raw!C32</x:f>
        <x:v>XRPUSDT</x:v>
      </x:c>
      <x:c r="D32" t="str">
        <x:f>Trading_Raw!D32</x:f>
        <x:v>Binance</x:v>
      </x:c>
      <x:c r="E32" t="str">
        <x:f>Trading_Raw!E32</x:f>
        <x:v>15m</x:v>
      </x:c>
      <x:c r="F32" t="str">
        <x:f>Trading_Raw!F32</x:f>
        <x:v>Short</x:v>
      </x:c>
      <x:c r="G32" t="n">
        <x:f>Trading_Raw!G32</x:f>
        <x:v>0.583293</x:v>
      </x:c>
      <x:c r="H32" t="n">
        <x:f>Trading_Raw!H32</x:f>
        <x:v>0.584195</x:v>
      </x:c>
      <x:c r="I32" t="n">
        <x:f>Trading_Raw!I32</x:f>
        <x:v>0.596808</x:v>
      </x:c>
      <x:c r="J32" t="n">
        <x:f>Trading_Raw!J32</x:f>
        <x:v>0.56658</x:v>
      </x:c>
      <x:c r="K32" t="n">
        <x:f>Trading_Raw!K32</x:f>
        <x:v>200</x:v>
      </x:c>
      <x:c r="L32" t="n">
        <x:f>Trading_Raw!L32</x:f>
        <x:v>5</x:v>
      </x:c>
      <x:c r="M32" t="n">
        <x:f>Trading_Raw!M32</x:f>
        <x:v>0.8</x:v>
      </x:c>
      <x:c r="N32" t="str">
        <x:f>Trading_Raw!N32</x:f>
        <x:v>Range deviation</x:v>
      </x:c>
      <x:c r="O32" t="str">
        <x:f>Trading_Raw!O32</x:f>
        <x:v>Oversized</x:v>
      </x:c>
      <x:c r="P32" s="76" t="n">
        <x:f>IF(F32="Long",(H32-G32)/G32*K32*L32,(G32-H32)/G32*K32*L32)-M32</x:f>
        <x:v>-2.3463926362909717</x:v>
      </x:c>
      <x:c r="Q32" s="78" t="n">
        <x:f>P32/K32</x:f>
        <x:v>-0.011731963181454858</x:v>
      </x:c>
      <x:c r="R32" s="78" t="n">
        <x:f>IF(F32="Long",(G32-I32)/G32,(I32-G32)/G32)</x:f>
        <x:v>0.023170173480566467</x:v>
      </x:c>
      <x:c r="S32" s="78" t="n">
        <x:f>IF(F32="Long",(J32-G32)/G32,(G32-J32)/G32)</x:f>
        <x:v>0.028652838281961173</x:v>
      </x:c>
      <x:c r="T32" s="80" t="n">
        <x:f>IFERROR(P32/(K32*L32*R32),0)</x:f>
        <x:v>-0.10126780614132919</x:v>
      </x:c>
      <x:c r="U32" t="str">
        <x:f>IF(P32&gt;0,"Win",IF(P32&lt;0,"Loss","Breakeven"))</x:f>
        <x:v>Loss</x:v>
      </x:c>
      <x:c r="V32" s="76" t="n">
        <x:f>SUM($P$5:P32)</x:f>
        <x:v>169.27911079256327</x:v>
      </x:c>
    </x:row>
    <x:row r="33">
      <x:c r="A33" t="n">
        <x:f>Trading_Raw!A33</x:f>
        <x:v>29</x:v>
      </x:c>
      <x:c r="B33" s="72" t="n">
        <x:f>Trading_Raw!B33</x:f>
        <x:v>46040.625</x:v>
      </x:c>
      <x:c r="C33" t="str">
        <x:f>Trading_Raw!C33</x:f>
        <x:v>XRPUSDT</x:v>
      </x:c>
      <x:c r="D33" t="str">
        <x:f>Trading_Raw!D33</x:f>
        <x:v>Binance</x:v>
      </x:c>
      <x:c r="E33" t="str">
        <x:f>Trading_Raw!E33</x:f>
        <x:v>15m</x:v>
      </x:c>
      <x:c r="F33" t="str">
        <x:f>Trading_Raw!F33</x:f>
        <x:v>Long</x:v>
      </x:c>
      <x:c r="G33" t="n">
        <x:f>Trading_Raw!G33</x:f>
        <x:v>0.522973</x:v>
      </x:c>
      <x:c r="H33" t="n">
        <x:f>Trading_Raw!H33</x:f>
        <x:v>0.505206</x:v>
      </x:c>
      <x:c r="I33" t="n">
        <x:f>Trading_Raw!I33</x:f>
        <x:v>0.515629</x:v>
      </x:c>
      <x:c r="J33" t="n">
        <x:f>Trading_Raw!J33</x:f>
        <x:v>0.54373</x:v>
      </x:c>
      <x:c r="K33" t="n">
        <x:f>Trading_Raw!K33</x:f>
        <x:v>100</x:v>
      </x:c>
      <x:c r="L33" t="n">
        <x:f>Trading_Raw!L33</x:f>
        <x:v>3</x:v>
      </x:c>
      <x:c r="M33" t="n">
        <x:f>Trading_Raw!M33</x:f>
        <x:v>0.24</x:v>
      </x:c>
      <x:c r="N33" t="str">
        <x:f>Trading_Raw!N33</x:f>
        <x:v>Liquidity sweep</x:v>
      </x:c>
      <x:c r="O33" t="str">
        <x:f>Trading_Raw!O33</x:f>
        <x:v>Moved SL</x:v>
      </x:c>
      <x:c r="P33" s="76" t="n">
        <x:f>IF(F33="Long",(H33-G33)/G33*K33*L33,(G33-H33)/G33*K33*L33)-M33</x:f>
        <x:v>-10.43192195390583</x:v>
      </x:c>
      <x:c r="Q33" s="78" t="n">
        <x:f>P33/K33</x:f>
        <x:v>-0.1043192195390583</x:v>
      </x:c>
      <x:c r="R33" s="78" t="n">
        <x:f>IF(F33="Long",(G33-I33)/G33,(I33-G33)/G33)</x:f>
        <x:v>0.01404278997194887</x:v>
      </x:c>
      <x:c r="S33" s="78" t="n">
        <x:f>IF(F33="Long",(J33-G33)/G33,(G33-J33)/G33)</x:f>
        <x:v>0.03969038554571656</x:v>
      </x:c>
      <x:c r="T33" s="80" t="n">
        <x:f>IFERROR(P33/(K33*L33*R33),0)</x:f>
        <x:v>-2.4762225490195995</x:v>
      </x:c>
      <x:c r="U33" t="str">
        <x:f>IF(P33&gt;0,"Win",IF(P33&lt;0,"Loss","Breakeven"))</x:f>
        <x:v>Loss</x:v>
      </x:c>
      <x:c r="V33" s="76" t="n">
        <x:f>SUM($P$5:P33)</x:f>
        <x:v>158.84718883865744</x:v>
      </x:c>
    </x:row>
    <x:row r="34">
      <x:c r="A34" t="n">
        <x:f>Trading_Raw!A34</x:f>
        <x:v>30</x:v>
      </x:c>
      <x:c r="B34" s="72" t="n">
        <x:f>Trading_Raw!B34</x:f>
        <x:v>46112.666666666664</x:v>
      </x:c>
      <x:c r="C34" t="str">
        <x:f>Trading_Raw!C34</x:f>
        <x:v>FARTCOINUSDT</x:v>
      </x:c>
      <x:c r="D34" t="str">
        <x:f>Trading_Raw!D34</x:f>
        <x:v>Binance</x:v>
      </x:c>
      <x:c r="E34" t="str">
        <x:f>Trading_Raw!E34</x:f>
        <x:v>3m</x:v>
      </x:c>
      <x:c r="F34" t="str">
        <x:f>Trading_Raw!F34</x:f>
        <x:v>Short</x:v>
      </x:c>
      <x:c r="G34" t="n">
        <x:f>Trading_Raw!G34</x:f>
        <x:v>0.152411</x:v>
      </x:c>
      <x:c r="H34" t="n">
        <x:f>Trading_Raw!H34</x:f>
        <x:v>0.155501</x:v>
      </x:c>
      <x:c r="I34" t="n">
        <x:f>Trading_Raw!I34</x:f>
        <x:v>0.155943</x:v>
      </x:c>
      <x:c r="J34" t="n">
        <x:f>Trading_Raw!J34</x:f>
        <x:v>0.14914</x:v>
      </x:c>
      <x:c r="K34" t="n">
        <x:f>Trading_Raw!K34</x:f>
        <x:v>200</x:v>
      </x:c>
      <x:c r="L34" t="n">
        <x:f>Trading_Raw!L34</x:f>
        <x:v>3</x:v>
      </x:c>
      <x:c r="M34" t="n">
        <x:f>Trading_Raw!M34</x:f>
        <x:v>0.48</x:v>
      </x:c>
      <x:c r="N34" t="str">
        <x:f>Trading_Raw!N34</x:f>
        <x:v>CVD divergence</x:v>
      </x:c>
      <x:c r="O34" t="str">
        <x:f>Trading_Raw!O34</x:f>
        <x:v>None</x:v>
      </x:c>
      <x:c r="P34" s="76" t="n">
        <x:f>IF(F34="Long",(H34-G34)/G34*K34*L34,(G34-H34)/G34*K34*L34)-M34</x:f>
        <x:v>-12.644476317326214</x:v>
      </x:c>
      <x:c r="Q34" s="78" t="n">
        <x:f>P34/K34</x:f>
        <x:v>-0.06322238158663107</x:v>
      </x:c>
      <x:c r="R34" s="78" t="n">
        <x:f>IF(F34="Long",(G34-I34)/G34,(I34-G34)/G34)</x:f>
        <x:v>0.023174180341313997</x:v>
      </x:c>
      <x:c r="S34" s="78" t="n">
        <x:f>IF(F34="Long",(J34-G34)/G34,(G34-J34)/G34)</x:f>
        <x:v>0.021461705519942764</x:v>
      </x:c>
      <x:c r="T34" s="80" t="n">
        <x:f>IFERROR(P34/(K34*L34*R34),0)</x:f>
        <x:v>-0.9093796149490381</x:v>
      </x:c>
      <x:c r="U34" t="str">
        <x:f>IF(P34&gt;0,"Win",IF(P34&lt;0,"Loss","Breakeven"))</x:f>
        <x:v>Loss</x:v>
      </x:c>
      <x:c r="V34" s="76" t="n">
        <x:f>SUM($P$5:P34)</x:f>
        <x:v>146.20271252133122</x:v>
      </x:c>
    </x:row>
    <x:row r="35">
      <x:c r="A35" t="n">
        <x:f>Trading_Raw!A35</x:f>
        <x:v>31</x:v>
      </x:c>
      <x:c r="B35" s="72" t="n">
        <x:f>Trading_Raw!B35</x:f>
        <x:v>46139.291666666664</x:v>
      </x:c>
      <x:c r="C35" t="str">
        <x:f>Trading_Raw!C35</x:f>
        <x:v>FARTCOINUSDT</x:v>
      </x:c>
      <x:c r="D35" t="str">
        <x:f>Trading_Raw!D35</x:f>
        <x:v>OKX</x:v>
      </x:c>
      <x:c r="E35" t="str">
        <x:f>Trading_Raw!E35</x:f>
        <x:v>15m</x:v>
      </x:c>
      <x:c r="F35" t="str">
        <x:f>Trading_Raw!F35</x:f>
        <x:v>Long</x:v>
      </x:c>
      <x:c r="G35" t="n">
        <x:f>Trading_Raw!G35</x:f>
        <x:v>0.140873</x:v>
      </x:c>
      <x:c r="H35" t="n">
        <x:f>Trading_Raw!H35</x:f>
        <x:v>0.14011</x:v>
      </x:c>
      <x:c r="I35" t="n">
        <x:f>Trading_Raw!I35</x:f>
        <x:v>0.138619</x:v>
      </x:c>
      <x:c r="J35" t="n">
        <x:f>Trading_Raw!J35</x:f>
        <x:v>0.145207</x:v>
      </x:c>
      <x:c r="K35" t="n">
        <x:f>Trading_Raw!K35</x:f>
        <x:v>250</x:v>
      </x:c>
      <x:c r="L35" t="n">
        <x:f>Trading_Raw!L35</x:f>
        <x:v>3</x:v>
      </x:c>
      <x:c r="M35" t="n">
        <x:f>Trading_Raw!M35</x:f>
        <x:v>0.6</x:v>
      </x:c>
      <x:c r="N35" t="str">
        <x:f>Trading_Raw!N35</x:f>
        <x:v>OB retest</x:v>
      </x:c>
      <x:c r="O35" t="str">
        <x:f>Trading_Raw!O35</x:f>
        <x:v>Moved SL</x:v>
      </x:c>
      <x:c r="P35" s="76" t="n">
        <x:f>IF(F35="Long",(H35-G35)/G35*K35*L35,(G35-H35)/G35*K35*L35)-M35</x:f>
        <x:v>-4.662169471793669</x:v>
      </x:c>
      <x:c r="Q35" s="78" t="n">
        <x:f>P35/K35</x:f>
        <x:v>-0.018648677887174673</x:v>
      </x:c>
      <x:c r="R35" s="78" t="n">
        <x:f>IF(F35="Long",(G35-I35)/G35,(I35-G35)/G35)</x:f>
        <x:v>0.016000227154955214</x:v>
      </x:c>
      <x:c r="S35" s="78" t="n">
        <x:f>IF(F35="Long",(J35-G35)/G35,(G35-J35)/G35)</x:f>
        <x:v>0.03076529924116051</x:v>
      </x:c>
      <x:c r="T35" s="80" t="n">
        <x:f>IFERROR(P35/(K35*L35*R35),0)</x:f>
        <x:v>-0.388508606921022</x:v>
      </x:c>
      <x:c r="U35" t="str">
        <x:f>IF(P35&gt;0,"Win",IF(P35&lt;0,"Loss","Breakeven"))</x:f>
        <x:v>Loss</x:v>
      </x:c>
      <x:c r="V35" s="76" t="n">
        <x:f>SUM($P$5:P35)</x:f>
        <x:v>141.54054304953755</x:v>
      </x:c>
    </x:row>
    <x:row r="36">
      <x:c r="A36" t="n">
        <x:f>Trading_Raw!A36</x:f>
        <x:v>32</x:v>
      </x:c>
      <x:c r="B36" s="72" t="n">
        <x:f>Trading_Raw!B36</x:f>
        <x:v>46130.916666666664</x:v>
      </x:c>
      <x:c r="C36" t="str">
        <x:f>Trading_Raw!C36</x:f>
        <x:v>XRPUSDT</x:v>
      </x:c>
      <x:c r="D36" t="str">
        <x:f>Trading_Raw!D36</x:f>
        <x:v>Binance</x:v>
      </x:c>
      <x:c r="E36" t="str">
        <x:f>Trading_Raw!E36</x:f>
        <x:v>1h</x:v>
      </x:c>
      <x:c r="F36" t="str">
        <x:f>Trading_Raw!F36</x:f>
        <x:v>Short</x:v>
      </x:c>
      <x:c r="G36" t="n">
        <x:f>Trading_Raw!G36</x:f>
        <x:v>0.589505</x:v>
      </x:c>
      <x:c r="H36" t="n">
        <x:f>Trading_Raw!H36</x:f>
        <x:v>0.587078</x:v>
      </x:c>
      <x:c r="I36" t="n">
        <x:f>Trading_Raw!I36</x:f>
        <x:v>0.599267</x:v>
      </x:c>
      <x:c r="J36" t="n">
        <x:f>Trading_Raw!J36</x:f>
        <x:v>0.557148</x:v>
      </x:c>
      <x:c r="K36" t="n">
        <x:f>Trading_Raw!K36</x:f>
        <x:v>1000</x:v>
      </x:c>
      <x:c r="L36" t="n">
        <x:f>Trading_Raw!L36</x:f>
        <x:v>1</x:v>
      </x:c>
      <x:c r="M36" t="n">
        <x:f>Trading_Raw!M36</x:f>
        <x:v>0.8</x:v>
      </x:c>
      <x:c r="N36" t="str">
        <x:f>Trading_Raw!N36</x:f>
        <x:v>Liquidity sweep</x:v>
      </x:c>
      <x:c r="O36" t="str">
        <x:f>Trading_Raw!O36</x:f>
        <x:v>Oversized</x:v>
      </x:c>
      <x:c r="P36" s="76" t="n">
        <x:f>IF(F36="Long",(H36-G36)/G36*K36*L36,(G36-H36)/G36*K36*L36)-M36</x:f>
        <x:v>3.3170134265187867</x:v>
      </x:c>
      <x:c r="Q36" s="78" t="n">
        <x:f>P36/K36</x:f>
        <x:v>0.0033170134265187866</x:v>
      </x:c>
      <x:c r="R36" s="78" t="n">
        <x:f>IF(F36="Long",(G36-I36)/G36,(I36-G36)/G36)</x:f>
        <x:v>0.016559655982561726</x:v>
      </x:c>
      <x:c r="S36" s="78" t="n">
        <x:f>IF(F36="Long",(J36-G36)/G36,(G36-J36)/G36)</x:f>
        <x:v>0.0548884233382244</x:v>
      </x:c>
      <x:c r="T36" s="80" t="n">
        <x:f>IFERROR(P36/(K36*L36*R36),0)</x:f>
        <x:v>0.20030690432287926</x:v>
      </x:c>
      <x:c r="U36" t="str">
        <x:f>IF(P36&gt;0,"Win",IF(P36&lt;0,"Loss","Breakeven"))</x:f>
        <x:v>Win</x:v>
      </x:c>
      <x:c r="V36" s="76" t="n">
        <x:f>SUM($P$5:P36)</x:f>
        <x:v>144.85755647605635</x:v>
      </x:c>
    </x:row>
    <x:row r="37">
      <x:c r="A37" t="n">
        <x:f>Trading_Raw!A37</x:f>
        <x:v>33</x:v>
      </x:c>
      <x:c r="B37" s="72" t="n">
        <x:f>Trading_Raw!B37</x:f>
        <x:v>46052.625</x:v>
      </x:c>
      <x:c r="C37" t="str">
        <x:f>Trading_Raw!C37</x:f>
        <x:v>BNBUSDT</x:v>
      </x:c>
      <x:c r="D37" t="str">
        <x:f>Trading_Raw!D37</x:f>
        <x:v>Bybit</x:v>
      </x:c>
      <x:c r="E37" t="str">
        <x:f>Trading_Raw!E37</x:f>
        <x:v>15m</x:v>
      </x:c>
      <x:c r="F37" t="str">
        <x:f>Trading_Raw!F37</x:f>
        <x:v>Short</x:v>
      </x:c>
      <x:c r="G37" t="n">
        <x:f>Trading_Raw!G37</x:f>
        <x:v>510.765106</x:v>
      </x:c>
      <x:c r="H37" t="n">
        <x:f>Trading_Raw!H37</x:f>
        <x:v>496.450411</x:v>
      </x:c>
      <x:c r="I37" t="n">
        <x:f>Trading_Raw!I37</x:f>
        <x:v>516.478196</x:v>
      </x:c>
      <x:c r="J37" t="n">
        <x:f>Trading_Raw!J37</x:f>
        <x:v>492.409102</x:v>
      </x:c>
      <x:c r="K37" t="n">
        <x:f>Trading_Raw!K37</x:f>
        <x:v>1000</x:v>
      </x:c>
      <x:c r="L37" t="n">
        <x:f>Trading_Raw!L37</x:f>
        <x:v>10</x:v>
      </x:c>
      <x:c r="M37" t="n">
        <x:f>Trading_Raw!M37</x:f>
        <x:v>8</x:v>
      </x:c>
      <x:c r="N37" t="str">
        <x:f>Trading_Raw!N37</x:f>
        <x:v>Liquidity sweep</x:v>
      </x:c>
      <x:c r="O37" t="str">
        <x:f>Trading_Raw!O37</x:f>
        <x:v>No HTF confirmation</x:v>
      </x:c>
      <x:c r="P37" s="76" t="n">
        <x:f>IF(F37="Long",(H37-G37)/G37*K37*L37,(G37-H37)/G37*K37*L37)-M37</x:f>
        <x:v>272.25984609841436</x:v>
      </x:c>
      <x:c r="Q37" s="78" t="n">
        <x:f>P37/K37</x:f>
        <x:v>0.27225984609841436</x:v>
      </x:c>
      <x:c r="R37" s="78" t="n">
        <x:f>IF(F37="Long",(G37-I37)/G37,(I37-G37)/G37)</x:f>
        <x:v>0.011185356894760195</x:v>
      </x:c>
      <x:c r="S37" s="78" t="n">
        <x:f>IF(F37="Long",(J37-G37)/G37,(G37-J37)/G37)</x:f>
        <x:v>0.03593824986157137</x:v>
      </x:c>
      <x:c r="T37" s="80" t="n">
        <x:f>IFERROR(P37/(K37*L37*R37),0)</x:f>
        <x:v>2.434073840111039</x:v>
      </x:c>
      <x:c r="U37" t="str">
        <x:f>IF(P37&gt;0,"Win",IF(P37&lt;0,"Loss","Breakeven"))</x:f>
        <x:v>Win</x:v>
      </x:c>
      <x:c r="V37" s="76" t="n">
        <x:f>SUM($P$5:P37)</x:f>
        <x:v>417.1174025744707</x:v>
      </x:c>
    </x:row>
    <x:row r="38">
      <x:c r="A38" t="n">
        <x:f>Trading_Raw!A38</x:f>
        <x:v>34</x:v>
      </x:c>
      <x:c r="B38" s="72" t="n">
        <x:f>Trading_Raw!B38</x:f>
        <x:v>46164.5</x:v>
      </x:c>
      <x:c r="C38" t="str">
        <x:f>Trading_Raw!C38</x:f>
        <x:v>FARTCOINUSDT</x:v>
      </x:c>
      <x:c r="D38" t="str">
        <x:f>Trading_Raw!D38</x:f>
        <x:v>OKX</x:v>
      </x:c>
      <x:c r="E38" t="str">
        <x:f>Trading_Raw!E38</x:f>
        <x:v>15m</x:v>
      </x:c>
      <x:c r="F38" t="str">
        <x:f>Trading_Raw!F38</x:f>
        <x:v>Long</x:v>
      </x:c>
      <x:c r="G38" t="n">
        <x:f>Trading_Raw!G38</x:f>
        <x:v>0.144522</x:v>
      </x:c>
      <x:c r="H38" t="n">
        <x:f>Trading_Raw!H38</x:f>
        <x:v>0.143593</x:v>
      </x:c>
      <x:c r="I38" t="n">
        <x:f>Trading_Raw!I38</x:f>
        <x:v>0.142109</x:v>
      </x:c>
      <x:c r="J38" t="n">
        <x:f>Trading_Raw!J38</x:f>
        <x:v>0.151253</x:v>
      </x:c>
      <x:c r="K38" t="n">
        <x:f>Trading_Raw!K38</x:f>
        <x:v>750</x:v>
      </x:c>
      <x:c r="L38" t="n">
        <x:f>Trading_Raw!L38</x:f>
        <x:v>3</x:v>
      </x:c>
      <x:c r="M38" t="n">
        <x:f>Trading_Raw!M38</x:f>
        <x:v>1.8</x:v>
      </x:c>
      <x:c r="N38" t="str">
        <x:f>Trading_Raw!N38</x:f>
        <x:v>Range deviation</x:v>
      </x:c>
      <x:c r="O38" t="str">
        <x:f>Trading_Raw!O38</x:f>
        <x:v>Late entry</x:v>
      </x:c>
      <x:c r="P38" s="76" t="n">
        <x:f>IF(F38="Long",(H38-G38)/G38*K38*L38,(G38-H38)/G38*K38*L38)-M38</x:f>
        <x:v>-16.26319591480902</x:v>
      </x:c>
      <x:c r="Q38" s="78" t="n">
        <x:f>P38/K38</x:f>
        <x:v>-0.02168426121974536</x:v>
      </x:c>
      <x:c r="R38" s="78" t="n">
        <x:f>IF(F38="Long",(G38-I38)/G38,(I38-G38)/G38)</x:f>
        <x:v>0.016696419922226362</x:v>
      </x:c>
      <x:c r="S38" s="78" t="n">
        <x:f>IF(F38="Long",(J38-G38)/G38,(G38-J38)/G38)</x:f>
        <x:v>0.04657422399357874</x:v>
      </x:c>
      <x:c r="T38" s="80" t="n">
        <x:f>IFERROR(P38/(K38*L38*R38),0)</x:f>
        <x:v>-0.43291239121426184</x:v>
      </x:c>
      <x:c r="U38" t="str">
        <x:f>IF(P38&gt;0,"Win",IF(P38&lt;0,"Loss","Breakeven"))</x:f>
        <x:v>Loss</x:v>
      </x:c>
      <x:c r="V38" s="76" t="n">
        <x:f>SUM($P$5:P38)</x:f>
        <x:v>400.85420665966166</x:v>
      </x:c>
    </x:row>
    <x:row r="39">
      <x:c r="A39" t="n">
        <x:f>Trading_Raw!A39</x:f>
        <x:v>35</x:v>
      </x:c>
      <x:c r="B39" s="72" t="n">
        <x:f>Trading_Raw!B39</x:f>
        <x:v>46171.083333333336</x:v>
      </x:c>
      <x:c r="C39" t="str">
        <x:f>Trading_Raw!C39</x:f>
        <x:v>BTCUSDT</x:v>
      </x:c>
      <x:c r="D39" t="str">
        <x:f>Trading_Raw!D39</x:f>
        <x:v>OKX</x:v>
      </x:c>
      <x:c r="E39" t="str">
        <x:f>Trading_Raw!E39</x:f>
        <x:v>15m</x:v>
      </x:c>
      <x:c r="F39" t="str">
        <x:f>Trading_Raw!F39</x:f>
        <x:v>Short</x:v>
      </x:c>
      <x:c r="G39" t="n">
        <x:f>Trading_Raw!G39</x:f>
        <x:v>72117.922906</x:v>
      </x:c>
      <x:c r="H39" t="n">
        <x:f>Trading_Raw!H39</x:f>
        <x:v>70819.622608</x:v>
      </x:c>
      <x:c r="I39" t="n">
        <x:f>Trading_Raw!I39</x:f>
        <x:v>72847.70212</x:v>
      </x:c>
      <x:c r="J39" t="n">
        <x:f>Trading_Raw!J39</x:f>
        <x:v>70281.271256</x:v>
      </x:c>
      <x:c r="K39" t="n">
        <x:f>Trading_Raw!K39</x:f>
        <x:v>250</x:v>
      </x:c>
      <x:c r="L39" t="n">
        <x:f>Trading_Raw!L39</x:f>
        <x:v>10</x:v>
      </x:c>
      <x:c r="M39" t="n">
        <x:f>Trading_Raw!M39</x:f>
        <x:v>2</x:v>
      </x:c>
      <x:c r="N39" t="str">
        <x:f>Trading_Raw!N39</x:f>
        <x:v>Range deviation</x:v>
      </x:c>
      <x:c r="O39" t="str">
        <x:f>Trading_Raw!O39</x:f>
        <x:v>Ignored funding</x:v>
      </x:c>
      <x:c r="P39" s="76" t="n">
        <x:f>IF(F39="Long",(H39-G39)/G39*K39*L39,(G39-H39)/G39*K39*L39)-M39</x:f>
        <x:v>43.006159553854374</x:v>
      </x:c>
      <x:c r="Q39" s="78" t="n">
        <x:f>P39/K39</x:f>
        <x:v>0.1720246382154175</x:v>
      </x:c>
      <x:c r="R39" s="78" t="n">
        <x:f>IF(F39="Long",(G39-I39)/G39,(I39-G39)/G39)</x:f>
        <x:v>0.010119248927221656</x:v>
      </x:c>
      <x:c r="S39" s="78" t="n">
        <x:f>IF(F39="Long",(J39-G39)/G39,(G39-J39)/G39)</x:f>
        <x:v>0.025467339823332536</x:v>
      </x:c>
      <x:c r="T39" s="80" t="n">
        <x:f>IFERROR(P39/(K39*L39*R39),0)</x:f>
        <x:v>1.6999743701595909</x:v>
      </x:c>
      <x:c r="U39" t="str">
        <x:f>IF(P39&gt;0,"Win",IF(P39&lt;0,"Loss","Breakeven"))</x:f>
        <x:v>Win</x:v>
      </x:c>
      <x:c r="V39" s="76" t="n">
        <x:f>SUM($P$5:P39)</x:f>
        <x:v>443.86036621351604</x:v>
      </x:c>
    </x:row>
    <x:row r="40">
      <x:c r="A40" t="n">
        <x:f>Trading_Raw!A40</x:f>
        <x:v>36</x:v>
      </x:c>
      <x:c r="B40" s="72" t="n">
        <x:f>Trading_Raw!B40</x:f>
        <x:v>46169.416666666664</x:v>
      </x:c>
      <x:c r="C40" t="str">
        <x:f>Trading_Raw!C40</x:f>
        <x:v>XRPUSDT</x:v>
      </x:c>
      <x:c r="D40" t="str">
        <x:f>Trading_Raw!D40</x:f>
        <x:v>OKX</x:v>
      </x:c>
      <x:c r="E40" t="str">
        <x:f>Trading_Raw!E40</x:f>
        <x:v>15m</x:v>
      </x:c>
      <x:c r="F40" t="str">
        <x:f>Trading_Raw!F40</x:f>
        <x:v>Long</x:v>
      </x:c>
      <x:c r="G40" t="n">
        <x:f>Trading_Raw!G40</x:f>
        <x:v>0.522288</x:v>
      </x:c>
      <x:c r="H40" t="n">
        <x:f>Trading_Raw!H40</x:f>
        <x:v>0.51896</x:v>
      </x:c>
      <x:c r="I40" t="n">
        <x:f>Trading_Raw!I40</x:f>
        <x:v>0.513086</x:v>
      </x:c>
      <x:c r="J40" t="n">
        <x:f>Trading_Raw!J40</x:f>
        <x:v>0.536567</x:v>
      </x:c>
      <x:c r="K40" t="n">
        <x:f>Trading_Raw!K40</x:f>
        <x:v>750</x:v>
      </x:c>
      <x:c r="L40" t="n">
        <x:f>Trading_Raw!L40</x:f>
        <x:v>10</x:v>
      </x:c>
      <x:c r="M40" t="n">
        <x:f>Trading_Raw!M40</x:f>
        <x:v>6</x:v>
      </x:c>
      <x:c r="N40" t="str">
        <x:f>Trading_Raw!N40</x:f>
        <x:v>VWAP reclaim</x:v>
      </x:c>
      <x:c r="O40" t="str">
        <x:f>Trading_Raw!O40</x:f>
        <x:v>Late entry</x:v>
      </x:c>
      <x:c r="P40" s="76" t="n">
        <x:f>IF(F40="Long",(H40-G40)/G40*K40*L40,(G40-H40)/G40*K40*L40)-M40</x:f>
        <x:v>-53.78972520908002</x:v>
      </x:c>
      <x:c r="Q40" s="78" t="n">
        <x:f>P40/K40</x:f>
        <x:v>-0.07171963361210669</x:v>
      </x:c>
      <x:c r="R40" s="78" t="n">
        <x:f>IF(F40="Long",(G40-I40)/G40,(I40-G40)/G40)</x:f>
        <x:v>0.017618631865943566</x:v>
      </x:c>
      <x:c r="S40" s="78" t="n">
        <x:f>IF(F40="Long",(J40-G40)/G40,(G40-J40)/G40)</x:f>
        <x:v>0.027339322366204167</x:v>
      </x:c>
      <x:c r="T40" s="80" t="n">
        <x:f>IFERROR(P40/(K40*L40*R40),0)</x:f>
        <x:v>-0.40706698543795106</x:v>
      </x:c>
      <x:c r="U40" t="str">
        <x:f>IF(P40&gt;0,"Win",IF(P40&lt;0,"Loss","Breakeven"))</x:f>
        <x:v>Loss</x:v>
      </x:c>
      <x:c r="V40" s="76" t="n">
        <x:f>SUM($P$5:P40)</x:f>
        <x:v>390.070641004436</x:v>
      </x:c>
    </x:row>
    <x:row r="41">
      <x:c r="A41" t="n">
        <x:f>Trading_Raw!A41</x:f>
        <x:v>37</x:v>
      </x:c>
      <x:c r="B41" s="72" t="n">
        <x:f>Trading_Raw!B41</x:f>
        <x:v>46124.916666666664</x:v>
      </x:c>
      <x:c r="C41" t="str">
        <x:f>Trading_Raw!C41</x:f>
        <x:v>ADAUSDT</x:v>
      </x:c>
      <x:c r="D41" t="str">
        <x:f>Trading_Raw!D41</x:f>
        <x:v>Bybit</x:v>
      </x:c>
      <x:c r="E41" t="str">
        <x:f>Trading_Raw!E41</x:f>
        <x:v>15m</x:v>
      </x:c>
      <x:c r="F41" t="str">
        <x:f>Trading_Raw!F41</x:f>
        <x:v>Long</x:v>
      </x:c>
      <x:c r="G41" t="n">
        <x:f>Trading_Raw!G41</x:f>
        <x:v>0.526695</x:v>
      </x:c>
      <x:c r="H41" t="n">
        <x:f>Trading_Raw!H41</x:f>
        <x:v>0.534516</x:v>
      </x:c>
      <x:c r="I41" t="n">
        <x:f>Trading_Raw!I41</x:f>
        <x:v>0.515865</x:v>
      </x:c>
      <x:c r="J41" t="n">
        <x:f>Trading_Raw!J41</x:f>
        <x:v>0.548634</x:v>
      </x:c>
      <x:c r="K41" t="n">
        <x:f>Trading_Raw!K41</x:f>
        <x:v>150</x:v>
      </x:c>
      <x:c r="L41" t="n">
        <x:f>Trading_Raw!L41</x:f>
        <x:v>5</x:v>
      </x:c>
      <x:c r="M41" t="n">
        <x:f>Trading_Raw!M41</x:f>
        <x:v>0.6</x:v>
      </x:c>
      <x:c r="N41" t="str">
        <x:f>Trading_Raw!N41</x:f>
        <x:v>VWAP reclaim</x:v>
      </x:c>
      <x:c r="O41" t="str">
        <x:f>Trading_Raw!O41</x:f>
        <x:v>Ignored funding</x:v>
      </x:c>
      <x:c r="P41" s="76" t="n">
        <x:f>IF(F41="Long",(H41-G41)/G41*K41*L41,(G41-H41)/G41*K41*L41)-M41</x:f>
        <x:v>10.536900862928212</x:v>
      </x:c>
      <x:c r="Q41" s="78" t="n">
        <x:f>P41/K41</x:f>
        <x:v>0.07024600575285475</x:v>
      </x:c>
      <x:c r="R41" s="78" t="n">
        <x:f>IF(F41="Long",(G41-I41)/G41,(I41-G41)/G41)</x:f>
        <x:v>0.0205621849457466</x:v>
      </x:c>
      <x:c r="S41" s="78" t="n">
        <x:f>IF(F41="Long",(J41-G41)/G41,(G41-J41)/G41)</x:f>
        <x:v>0.041654088229430564</x:v>
      </x:c>
      <x:c r="T41" s="80" t="n">
        <x:f>IFERROR(P41/(K41*L41*R41),0)</x:f>
        <x:v>0.6832542936288054</x:v>
      </x:c>
      <x:c r="U41" t="str">
        <x:f>IF(P41&gt;0,"Win",IF(P41&lt;0,"Loss","Breakeven"))</x:f>
        <x:v>Win</x:v>
      </x:c>
      <x:c r="V41" s="76" t="n">
        <x:f>SUM($P$5:P41)</x:f>
        <x:v>400.60754186736426</x:v>
      </x:c>
    </x:row>
    <x:row r="42">
      <x:c r="A42" t="n">
        <x:f>Trading_Raw!A42</x:f>
        <x:v>38</x:v>
      </x:c>
      <x:c r="B42" s="72" t="n">
        <x:f>Trading_Raw!B42</x:f>
        <x:v>46166.791666666664</x:v>
      </x:c>
      <x:c r="C42" t="str">
        <x:f>Trading_Raw!C42</x:f>
        <x:v>WLFIUSDT</x:v>
      </x:c>
      <x:c r="D42" t="str">
        <x:f>Trading_Raw!D42</x:f>
        <x:v>OKX</x:v>
      </x:c>
      <x:c r="E42" t="str">
        <x:f>Trading_Raw!E42</x:f>
        <x:v>3m</x:v>
      </x:c>
      <x:c r="F42" t="str">
        <x:f>Trading_Raw!F42</x:f>
        <x:v>Short</x:v>
      </x:c>
      <x:c r="G42" t="n">
        <x:f>Trading_Raw!G42</x:f>
        <x:v>0.051827</x:v>
      </x:c>
      <x:c r="H42" t="n">
        <x:f>Trading_Raw!H42</x:f>
        <x:v>0.052751</x:v>
      </x:c>
      <x:c r="I42" t="n">
        <x:f>Trading_Raw!I42</x:f>
        <x:v>0.052296</x:v>
      </x:c>
      <x:c r="J42" t="n">
        <x:f>Trading_Raw!J42</x:f>
        <x:v>0.050586</x:v>
      </x:c>
      <x:c r="K42" t="n">
        <x:f>Trading_Raw!K42</x:f>
        <x:v>300</x:v>
      </x:c>
      <x:c r="L42" t="n">
        <x:f>Trading_Raw!L42</x:f>
        <x:v>2</x:v>
      </x:c>
      <x:c r="M42" t="n">
        <x:f>Trading_Raw!M42</x:f>
        <x:v>0.48</x:v>
      </x:c>
      <x:c r="N42" t="str">
        <x:f>Trading_Raw!N42</x:f>
        <x:v>VWAP reclaim</x:v>
      </x:c>
      <x:c r="O42" t="str">
        <x:f>Trading_Raw!O42</x:f>
        <x:v>Oversized</x:v>
      </x:c>
      <x:c r="P42" s="76" t="n">
        <x:f>IF(F42="Long",(H42-G42)/G42*K42*L42,(G42-H42)/G42*K42*L42)-M42</x:f>
        <x:v>-11.1771269801455</x:v>
      </x:c>
      <x:c r="Q42" s="78" t="n">
        <x:f>P42/K42</x:f>
        <x:v>-0.037257089933818335</x:v>
      </x:c>
      <x:c r="R42" s="78" t="n">
        <x:f>IF(F42="Long",(G42-I42)/G42,(I42-G42)/G42)</x:f>
        <x:v>0.009049337218052447</x:v>
      </x:c>
      <x:c r="S42" s="78" t="n">
        <x:f>IF(F42="Long",(J42-G42)/G42,(G42-J42)/G42)</x:f>
        <x:v>0.023945047947980764</x:v>
      </x:c>
      <x:c r="T42" s="80" t="n">
        <x:f>IFERROR(P42/(K42*L42*R42),0)</x:f>
        <x:v>-2.0585535181236523</x:v>
      </x:c>
      <x:c r="U42" t="str">
        <x:f>IF(P42&gt;0,"Win",IF(P42&lt;0,"Loss","Breakeven"))</x:f>
        <x:v>Loss</x:v>
      </x:c>
      <x:c r="V42" s="76" t="n">
        <x:f>SUM($P$5:P42)</x:f>
        <x:v>389.4304148872188</x:v>
      </x:c>
    </x:row>
    <x:row r="43">
      <x:c r="A43" t="n">
        <x:f>Trading_Raw!A43</x:f>
        <x:v>39</x:v>
      </x:c>
      <x:c r="B43" s="72" t="n">
        <x:f>Trading_Raw!B43</x:f>
        <x:v>46094.666666666664</x:v>
      </x:c>
      <x:c r="C43" t="str">
        <x:f>Trading_Raw!C43</x:f>
        <x:v>SOLUSDT</x:v>
      </x:c>
      <x:c r="D43" t="str">
        <x:f>Trading_Raw!D43</x:f>
        <x:v>Binance</x:v>
      </x:c>
      <x:c r="E43" t="str">
        <x:f>Trading_Raw!E43</x:f>
        <x:v>3m</x:v>
      </x:c>
      <x:c r="F43" t="str">
        <x:f>Trading_Raw!F43</x:f>
        <x:v>Short</x:v>
      </x:c>
      <x:c r="G43" t="n">
        <x:f>Trading_Raw!G43</x:f>
        <x:v>156.768344</x:v>
      </x:c>
      <x:c r="H43" t="n">
        <x:f>Trading_Raw!H43</x:f>
        <x:v>157.161821</x:v>
      </x:c>
      <x:c r="I43" t="n">
        <x:f>Trading_Raw!I43</x:f>
        <x:v>159.881455</x:v>
      </x:c>
      <x:c r="J43" t="n">
        <x:f>Trading_Raw!J43</x:f>
        <x:v>148.507905</x:v>
      </x:c>
      <x:c r="K43" t="n">
        <x:f>Trading_Raw!K43</x:f>
        <x:v>100</x:v>
      </x:c>
      <x:c r="L43" t="n">
        <x:f>Trading_Raw!L43</x:f>
        <x:v>5</x:v>
      </x:c>
      <x:c r="M43" t="n">
        <x:f>Trading_Raw!M43</x:f>
        <x:v>0.4</x:v>
      </x:c>
      <x:c r="N43" t="str">
        <x:f>Trading_Raw!N43</x:f>
        <x:v>Trend continuation</x:v>
      </x:c>
      <x:c r="O43" t="str">
        <x:f>Trading_Raw!O43</x:f>
        <x:v>None</x:v>
      </x:c>
      <x:c r="P43" s="76" t="n">
        <x:f>IF(F43="Long",(H43-G43)/G43*K43*L43,(G43-H43)/G43*K43*L43)-M43</x:f>
        <x:v>-1.6549631831283174</x:v>
      </x:c>
      <x:c r="Q43" s="78" t="n">
        <x:f>P43/K43</x:f>
        <x:v>-0.016549631831283173</x:v>
      </x:c>
      <x:c r="R43" s="78" t="n">
        <x:f>IF(F43="Long",(G43-I43)/G43,(I43-G43)/G43)</x:f>
        <x:v>0.019858033328463143</x:v>
      </x:c>
      <x:c r="S43" s="78" t="n">
        <x:f>IF(F43="Long",(J43-G43)/G43,(G43-J43)/G43)</x:f>
        <x:v>0.0526920090448874</x:v>
      </x:c>
      <x:c r="T43" s="80" t="n">
        <x:f>IFERROR(P43/(K43*L43*R43),0)</x:f>
        <x:v>-0.1666794647540657</x:v>
      </x:c>
      <x:c r="U43" t="str">
        <x:f>IF(P43&gt;0,"Win",IF(P43&lt;0,"Loss","Breakeven"))</x:f>
        <x:v>Loss</x:v>
      </x:c>
      <x:c r="V43" s="76" t="n">
        <x:f>SUM($P$5:P43)</x:f>
        <x:v>387.7754517040905</x:v>
      </x:c>
    </x:row>
    <x:row r="44">
      <x:c r="A44" t="n">
        <x:f>Trading_Raw!A44</x:f>
        <x:v>40</x:v>
      </x:c>
      <x:c r="B44" s="72" t="n">
        <x:f>Trading_Raw!B44</x:f>
        <x:v>46056.041666666664</x:v>
      </x:c>
      <x:c r="C44" t="str">
        <x:f>Trading_Raw!C44</x:f>
        <x:v>ETHUSDT</x:v>
      </x:c>
      <x:c r="D44" t="str">
        <x:f>Trading_Raw!D44</x:f>
        <x:v>OKX</x:v>
      </x:c>
      <x:c r="E44" t="str">
        <x:f>Trading_Raw!E44</x:f>
        <x:v>15m</x:v>
      </x:c>
      <x:c r="F44" t="str">
        <x:f>Trading_Raw!F44</x:f>
        <x:v>Short</x:v>
      </x:c>
      <x:c r="G44" t="n">
        <x:f>Trading_Raw!G44</x:f>
        <x:v>3235.456353</x:v>
      </x:c>
      <x:c r="H44" t="n">
        <x:f>Trading_Raw!H44</x:f>
        <x:v>3190.004947</x:v>
      </x:c>
      <x:c r="I44" t="n">
        <x:f>Trading_Raw!I44</x:f>
        <x:v>3286.571728</x:v>
      </x:c>
      <x:c r="J44" t="n">
        <x:f>Trading_Raw!J44</x:f>
        <x:v>3139.358478</x:v>
      </x:c>
      <x:c r="K44" t="n">
        <x:f>Trading_Raw!K44</x:f>
        <x:v>1000</x:v>
      </x:c>
      <x:c r="L44" t="n">
        <x:f>Trading_Raw!L44</x:f>
        <x:v>10</x:v>
      </x:c>
      <x:c r="M44" t="n">
        <x:f>Trading_Raw!M44</x:f>
        <x:v>8</x:v>
      </x:c>
      <x:c r="N44" t="str">
        <x:f>Trading_Raw!N44</x:f>
        <x:v>VWAP reclaim</x:v>
      </x:c>
      <x:c r="O44" t="str">
        <x:f>Trading_Raw!O44</x:f>
        <x:v>No HTF confirmation</x:v>
      </x:c>
      <x:c r="P44" s="76" t="n">
        <x:f>IF(F44="Long",(H44-G44)/G44*K44*L44,(G44-H44)/G44*K44*L44)-M44</x:f>
        <x:v>132.47911960813934</x:v>
      </x:c>
      <x:c r="Q44" s="78" t="n">
        <x:f>P44/K44</x:f>
        <x:v>0.13247911960813935</x:v>
      </x:c>
      <x:c r="R44" s="78" t="n">
        <x:f>IF(F44="Long",(G44-I44)/G44,(I44-G44)/G44)</x:f>
        <x:v>0.015798505503745813</x:v>
      </x:c>
      <x:c r="S44" s="78" t="n">
        <x:f>IF(F44="Long",(J44-G44)/G44,(G44-J44)/G44)</x:f>
        <x:v>0.02970149015019024</x:v>
      </x:c>
      <x:c r="T44" s="80" t="n">
        <x:f>IFERROR(P44/(K44*L44*R44),0)</x:f>
        <x:v>0.8385547580860016</x:v>
      </x:c>
      <x:c r="U44" t="str">
        <x:f>IF(P44&gt;0,"Win",IF(P44&lt;0,"Loss","Breakeven"))</x:f>
        <x:v>Win</x:v>
      </x:c>
      <x:c r="V44" s="76" t="n">
        <x:f>SUM($P$5:P44)</x:f>
        <x:v>520.2545713122298</x:v>
      </x:c>
    </x:row>
    <x:row r="45">
      <x:c r="A45" t="n">
        <x:f>Trading_Raw!A45</x:f>
        <x:v>41</x:v>
      </x:c>
      <x:c r="B45" s="72" t="n">
        <x:f>Trading_Raw!B45</x:f>
        <x:v>46029.75</x:v>
      </x:c>
      <x:c r="C45" t="str">
        <x:f>Trading_Raw!C45</x:f>
        <x:v>FARTCOINUSDT</x:v>
      </x:c>
      <x:c r="D45" t="str">
        <x:f>Trading_Raw!D45</x:f>
        <x:v>Binance</x:v>
      </x:c>
      <x:c r="E45" t="str">
        <x:f>Trading_Raw!E45</x:f>
        <x:v>15m</x:v>
      </x:c>
      <x:c r="F45" t="str">
        <x:f>Trading_Raw!F45</x:f>
        <x:v>Long</x:v>
      </x:c>
      <x:c r="G45" t="n">
        <x:f>Trading_Raw!G45</x:f>
        <x:v>0.16371</x:v>
      </x:c>
      <x:c r="H45" t="n">
        <x:f>Trading_Raw!H45</x:f>
        <x:v>0.168283</x:v>
      </x:c>
      <x:c r="I45" t="n">
        <x:f>Trading_Raw!I45</x:f>
        <x:v>0.162172</x:v>
      </x:c>
      <x:c r="J45" t="n">
        <x:f>Trading_Raw!J45</x:f>
        <x:v>0.167585</x:v>
      </x:c>
      <x:c r="K45" t="n">
        <x:f>Trading_Raw!K45</x:f>
        <x:v>250</x:v>
      </x:c>
      <x:c r="L45" t="n">
        <x:f>Trading_Raw!L45</x:f>
        <x:v>1</x:v>
      </x:c>
      <x:c r="M45" t="n">
        <x:f>Trading_Raw!M45</x:f>
        <x:v>0.2</x:v>
      </x:c>
      <x:c r="N45" t="str">
        <x:f>Trading_Raw!N45</x:f>
        <x:v>OB retest</x:v>
      </x:c>
      <x:c r="O45" t="str">
        <x:f>Trading_Raw!O45</x:f>
        <x:v>Moved SL</x:v>
      </x:c>
      <x:c r="P45" s="76" t="n">
        <x:f>IF(F45="Long",(H45-G45)/G45*K45*L45,(G45-H45)/G45*K45*L45)-M45</x:f>
        <x:v>6.7833852544132816</x:v>
      </x:c>
      <x:c r="Q45" s="78" t="n">
        <x:f>P45/K45</x:f>
        <x:v>0.027133541017653126</x:v>
      </x:c>
      <x:c r="R45" s="78" t="n">
        <x:f>IF(F45="Long",(G45-I45)/G45,(I45-G45)/G45)</x:f>
        <x:v>0.009394661291307702</x:v>
      </x:c>
      <x:c r="S45" s="78" t="n">
        <x:f>IF(F45="Long",(J45-G45)/G45,(G45-J45)/G45)</x:f>
        <x:v>0.023669904098711243</x:v>
      </x:c>
      <x:c r="T45" s="80" t="n">
        <x:f>IFERROR(P45/(K45*L45*R45),0)</x:f>
        <x:v>2.8881872561768787</x:v>
      </x:c>
      <x:c r="U45" t="str">
        <x:f>IF(P45&gt;0,"Win",IF(P45&lt;0,"Loss","Breakeven"))</x:f>
        <x:v>Win</x:v>
      </x:c>
      <x:c r="V45" s="76" t="n">
        <x:f>SUM($P$5:P45)</x:f>
        <x:v>527.0379565666431</x:v>
      </x:c>
    </x:row>
    <x:row r="46">
      <x:c r="A46" t="n">
        <x:f>Trading_Raw!A46</x:f>
        <x:v>42</x:v>
      </x:c>
      <x:c r="B46" s="72" t="n">
        <x:f>Trading_Raw!B46</x:f>
        <x:v>46160.083333333336</x:v>
      </x:c>
      <x:c r="C46" t="str">
        <x:f>Trading_Raw!C46</x:f>
        <x:v>BTCUSDT</x:v>
      </x:c>
      <x:c r="D46" t="str">
        <x:f>Trading_Raw!D46</x:f>
        <x:v>OKX</x:v>
      </x:c>
      <x:c r="E46" t="str">
        <x:f>Trading_Raw!E46</x:f>
        <x:v>1h</x:v>
      </x:c>
      <x:c r="F46" t="str">
        <x:f>Trading_Raw!F46</x:f>
        <x:v>Short</x:v>
      </x:c>
      <x:c r="G46" t="n">
        <x:f>Trading_Raw!G46</x:f>
        <x:v>58642.715977</x:v>
      </x:c>
      <x:c r="H46" t="n">
        <x:f>Trading_Raw!H46</x:f>
        <x:v>60037.347182</x:v>
      </x:c>
      <x:c r="I46" t="n">
        <x:f>Trading_Raw!I46</x:f>
        <x:v>59483.022242</x:v>
      </x:c>
      <x:c r="J46" t="n">
        <x:f>Trading_Raw!J46</x:f>
        <x:v>55552.25111</x:v>
      </x:c>
      <x:c r="K46" t="n">
        <x:f>Trading_Raw!K46</x:f>
        <x:v>750</x:v>
      </x:c>
      <x:c r="L46" t="n">
        <x:f>Trading_Raw!L46</x:f>
        <x:v>1</x:v>
      </x:c>
      <x:c r="M46" t="n">
        <x:f>Trading_Raw!M46</x:f>
        <x:v>0.6</x:v>
      </x:c>
      <x:c r="N46" t="str">
        <x:f>Trading_Raw!N46</x:f>
        <x:v>CVD divergence</x:v>
      </x:c>
      <x:c r="O46" t="str">
        <x:f>Trading_Raw!O46</x:f>
        <x:v>Late entry</x:v>
      </x:c>
      <x:c r="P46" s="76" t="n">
        <x:f>IF(F46="Long",(H46-G46)/G46*K46*L46,(G46-H46)/G46*K46*L46)-M46</x:f>
        <x:v>-18.436373815978016</x:v>
      </x:c>
      <x:c r="Q46" s="78" t="n">
        <x:f>P46/K46</x:f>
        <x:v>-0.024581831754637355</x:v>
      </x:c>
      <x:c r="R46" s="78" t="n">
        <x:f>IF(F46="Long",(G46-I46)/G46,(I46-G46)/G46)</x:f>
        <x:v>0.014329252167133119</x:v>
      </x:c>
      <x:c r="S46" s="78" t="n">
        <x:f>IF(F46="Long",(J46-G46)/G46,(G46-J46)/G46)</x:f>
        <x:v>0.052699893166818876</x:v>
      </x:c>
      <x:c r="T46" s="80" t="n">
        <x:f>IFERROR(P46/(K46*L46*R46),0)</x:f>
        <x:v>-1.7154999764063397</x:v>
      </x:c>
      <x:c r="U46" t="str">
        <x:f>IF(P46&gt;0,"Win",IF(P46&lt;0,"Loss","Breakeven"))</x:f>
        <x:v>Loss</x:v>
      </x:c>
      <x:c r="V46" s="76" t="n">
        <x:f>SUM($P$5:P46)</x:f>
        <x:v>508.60158275066505</x:v>
      </x:c>
    </x:row>
    <x:row r="47">
      <x:c r="A47" t="n">
        <x:f>Trading_Raw!A47</x:f>
        <x:v>43</x:v>
      </x:c>
      <x:c r="B47" s="72" t="n">
        <x:f>Trading_Raw!B47</x:f>
        <x:v>46140.291666666664</x:v>
      </x:c>
      <x:c r="C47" t="str">
        <x:f>Trading_Raw!C47</x:f>
        <x:v>BTCUSDT</x:v>
      </x:c>
      <x:c r="D47" t="str">
        <x:f>Trading_Raw!D47</x:f>
        <x:v>Binance</x:v>
      </x:c>
      <x:c r="E47" t="str">
        <x:f>Trading_Raw!E47</x:f>
        <x:v>1h</x:v>
      </x:c>
      <x:c r="F47" t="str">
        <x:f>Trading_Raw!F47</x:f>
        <x:v>Short</x:v>
      </x:c>
      <x:c r="G47" t="n">
        <x:f>Trading_Raw!G47</x:f>
        <x:v>57625.033279</x:v>
      </x:c>
      <x:c r="H47" t="n">
        <x:f>Trading_Raw!H47</x:f>
        <x:v>60509.866082</x:v>
      </x:c>
      <x:c r="I47" t="n">
        <x:f>Trading_Raw!I47</x:f>
        <x:v>58655.282891</x:v>
      </x:c>
      <x:c r="J47" t="n">
        <x:f>Trading_Raw!J47</x:f>
        <x:v>55155.824787</x:v>
      </x:c>
      <x:c r="K47" t="n">
        <x:f>Trading_Raw!K47</x:f>
        <x:v>100</x:v>
      </x:c>
      <x:c r="L47" t="n">
        <x:f>Trading_Raw!L47</x:f>
        <x:v>5</x:v>
      </x:c>
      <x:c r="M47" t="n">
        <x:f>Trading_Raw!M47</x:f>
        <x:v>0.4</x:v>
      </x:c>
      <x:c r="N47" t="str">
        <x:f>Trading_Raw!N47</x:f>
        <x:v>Liquidity sweep</x:v>
      </x:c>
      <x:c r="O47" t="str">
        <x:f>Trading_Raw!O47</x:f>
        <x:v>None</x:v>
      </x:c>
      <x:c r="P47" s="76" t="n">
        <x:f>IF(F47="Long",(H47-G47)/G47*K47*L47,(G47-H47)/G47*K47*L47)-M47</x:f>
        <x:v>-25.431072772076842</x:v>
      </x:c>
      <x:c r="Q47" s="78" t="n">
        <x:f>P47/K47</x:f>
        <x:v>-0.2543107277207684</x:v>
      </x:c>
      <x:c r="R47" s="78" t="n">
        <x:f>IF(F47="Long",(G47-I47)/G47,(I47-G47)/G47)</x:f>
        <x:v>0.017878507887568514</x:v>
      </x:c>
      <x:c r="S47" s="78" t="n">
        <x:f>IF(F47="Long",(J47-G47)/G47,(G47-J47)/G47)</x:f>
        <x:v>0.0428495803211943</x:v>
      </x:c>
      <x:c r="T47" s="80" t="n">
        <x:f>IFERROR(P47/(K47*L47*R47),0)</x:f>
        <x:v>-2.844876421679447</x:v>
      </x:c>
      <x:c r="U47" t="str">
        <x:f>IF(P47&gt;0,"Win",IF(P47&lt;0,"Loss","Breakeven"))</x:f>
        <x:v>Loss</x:v>
      </x:c>
      <x:c r="V47" s="76" t="n">
        <x:f>SUM($P$5:P47)</x:f>
        <x:v>483.1705099785882</x:v>
      </x:c>
    </x:row>
    <x:row r="48">
      <x:c r="A48" t="n">
        <x:f>Trading_Raw!A48</x:f>
        <x:v>44</x:v>
      </x:c>
      <x:c r="B48" s="72" t="n">
        <x:f>Trading_Raw!B48</x:f>
        <x:v>46116.041666666664</x:v>
      </x:c>
      <x:c r="C48" t="str">
        <x:f>Trading_Raw!C48</x:f>
        <x:v>ETHUSDT</x:v>
      </x:c>
      <x:c r="D48" t="str">
        <x:f>Trading_Raw!D48</x:f>
        <x:v>Binance</x:v>
      </x:c>
      <x:c r="E48" t="str">
        <x:f>Trading_Raw!E48</x:f>
        <x:v>15m</x:v>
      </x:c>
      <x:c r="F48" t="str">
        <x:f>Trading_Raw!F48</x:f>
        <x:v>Long</x:v>
      </x:c>
      <x:c r="G48" t="n">
        <x:f>Trading_Raw!G48</x:f>
        <x:v>3047.918303</x:v>
      </x:c>
      <x:c r="H48" t="n">
        <x:f>Trading_Raw!H48</x:f>
        <x:v>3096.786822</x:v>
      </x:c>
      <x:c r="I48" t="n">
        <x:f>Trading_Raw!I48</x:f>
        <x:v>3008.399682</x:v>
      </x:c>
      <x:c r="J48" t="n">
        <x:f>Trading_Raw!J48</x:f>
        <x:v>3183.002227</x:v>
      </x:c>
      <x:c r="K48" t="n">
        <x:f>Trading_Raw!K48</x:f>
        <x:v>200</x:v>
      </x:c>
      <x:c r="L48" t="n">
        <x:f>Trading_Raw!L48</x:f>
        <x:v>10</x:v>
      </x:c>
      <x:c r="M48" t="n">
        <x:f>Trading_Raw!M48</x:f>
        <x:v>1.6</x:v>
      </x:c>
      <x:c r="N48" t="str">
        <x:f>Trading_Raw!N48</x:f>
        <x:v>CVD divergence</x:v>
      </x:c>
      <x:c r="O48" t="str">
        <x:f>Trading_Raw!O48</x:f>
        <x:v>Moved SL</x:v>
      </x:c>
      <x:c r="P48" s="76" t="n">
        <x:f>IF(F48="Long",(H48-G48)/G48*K48*L48,(G48-H48)/G48*K48*L48)-M48</x:f>
        <x:v>30.466816851291505</x:v>
      </x:c>
      <x:c r="Q48" s="78" t="n">
        <x:f>P48/K48</x:f>
        <x:v>0.15233408425645753</x:v>
      </x:c>
      <x:c r="R48" s="78" t="n">
        <x:f>IF(F48="Long",(G48-I48)/G48,(I48-G48)/G48)</x:f>
        <x:v>0.01296577436511418</x:v>
      </x:c>
      <x:c r="S48" s="78" t="n">
        <x:f>IF(F48="Long",(J48-G48)/G48,(G48-J48)/G48)</x:f>
        <x:v>0.04432006063516855</x:v>
      </x:c>
      <x:c r="T48" s="80" t="n">
        <x:f>IFERROR(P48/(K48*L48*R48),0)</x:f>
        <x:v>1.1748938394788735</x:v>
      </x:c>
      <x:c r="U48" t="str">
        <x:f>IF(P48&gt;0,"Win",IF(P48&lt;0,"Loss","Breakeven"))</x:f>
        <x:v>Win</x:v>
      </x:c>
      <x:c r="V48" s="76" t="n">
        <x:f>SUM($P$5:P48)</x:f>
        <x:v>513.6373268298797</x:v>
      </x:c>
    </x:row>
    <x:row r="49">
      <x:c r="A49" t="n">
        <x:f>Trading_Raw!A49</x:f>
        <x:v>45</x:v>
      </x:c>
      <x:c r="B49" s="72" t="n">
        <x:f>Trading_Raw!B49</x:f>
        <x:v>46074.125</x:v>
      </x:c>
      <x:c r="C49" t="str">
        <x:f>Trading_Raw!C49</x:f>
        <x:v>BNBUSDT</x:v>
      </x:c>
      <x:c r="D49" t="str">
        <x:f>Trading_Raw!D49</x:f>
        <x:v>Bybit</x:v>
      </x:c>
      <x:c r="E49" t="str">
        <x:f>Trading_Raw!E49</x:f>
        <x:v>5m</x:v>
      </x:c>
      <x:c r="F49" t="str">
        <x:f>Trading_Raw!F49</x:f>
        <x:v>Long</x:v>
      </x:c>
      <x:c r="G49" t="n">
        <x:f>Trading_Raw!G49</x:f>
        <x:v>568.936069</x:v>
      </x:c>
      <x:c r="H49" t="n">
        <x:f>Trading_Raw!H49</x:f>
        <x:v>548.43238</x:v>
      </x:c>
      <x:c r="I49" t="n">
        <x:f>Trading_Raw!I49</x:f>
        <x:v>558.819242</x:v>
      </x:c>
      <x:c r="J49" t="n">
        <x:f>Trading_Raw!J49</x:f>
        <x:v>579.992496</x:v>
      </x:c>
      <x:c r="K49" t="n">
        <x:f>Trading_Raw!K49</x:f>
        <x:v>750</x:v>
      </x:c>
      <x:c r="L49" t="n">
        <x:f>Trading_Raw!L49</x:f>
        <x:v>1</x:v>
      </x:c>
      <x:c r="M49" t="n">
        <x:f>Trading_Raw!M49</x:f>
        <x:v>0.6</x:v>
      </x:c>
      <x:c r="N49" t="str">
        <x:f>Trading_Raw!N49</x:f>
        <x:v>CVD divergence</x:v>
      </x:c>
      <x:c r="O49" t="str">
        <x:f>Trading_Raw!O49</x:f>
        <x:v>No HTF confirmation</x:v>
      </x:c>
      <x:c r="P49" s="76" t="n">
        <x:f>IF(F49="Long",(H49-G49)/G49*K49*L49,(G49-H49)/G49*K49*L49)-M49</x:f>
        <x:v>-27.628988998762193</x:v>
      </x:c>
      <x:c r="Q49" s="78" t="n">
        <x:f>P49/K49</x:f>
        <x:v>-0.03683865199834959</x:v>
      </x:c>
      <x:c r="R49" s="78" t="n">
        <x:f>IF(F49="Long",(G49-I49)/G49,(I49-G49)/G49)</x:f>
        <x:v>0.017782010231451758</x:v>
      </x:c>
      <x:c r="S49" s="78" t="n">
        <x:f>IF(F49="Long",(J49-G49)/G49,(G49-J49)/G49)</x:f>
        <x:v>0.019433513890995697</x:v>
      </x:c>
      <x:c r="T49" s="80" t="n">
        <x:f>IFERROR(P49/(K49*L49*R49),0)</x:f>
        <x:v>-2.07168095838746</x:v>
      </x:c>
      <x:c r="U49" t="str">
        <x:f>IF(P49&gt;0,"Win",IF(P49&lt;0,"Loss","Breakeven"))</x:f>
        <x:v>Loss</x:v>
      </x:c>
      <x:c r="V49" s="76" t="n">
        <x:f>SUM($P$5:P49)</x:f>
        <x:v>486.00833783111756</x:v>
      </x:c>
    </x:row>
    <x:row r="50">
      <x:c r="A50" t="n">
        <x:f>Trading_Raw!A50</x:f>
        <x:v>46</x:v>
      </x:c>
      <x:c r="B50" s="72" t="n">
        <x:f>Trading_Raw!B50</x:f>
        <x:v>46066.666666666664</x:v>
      </x:c>
      <x:c r="C50" t="str">
        <x:f>Trading_Raw!C50</x:f>
        <x:v>BTCUSDT</x:v>
      </x:c>
      <x:c r="D50" t="str">
        <x:f>Trading_Raw!D50</x:f>
        <x:v>OKX</x:v>
      </x:c>
      <x:c r="E50" t="str">
        <x:f>Trading_Raw!E50</x:f>
        <x:v>15m</x:v>
      </x:c>
      <x:c r="F50" t="str">
        <x:f>Trading_Raw!F50</x:f>
        <x:v>Long</x:v>
      </x:c>
      <x:c r="G50" t="n">
        <x:f>Trading_Raw!G50</x:f>
        <x:v>69674.892328</x:v>
      </x:c>
      <x:c r="H50" t="n">
        <x:f>Trading_Raw!H50</x:f>
        <x:v>69881.459832</x:v>
      </x:c>
      <x:c r="I50" t="n">
        <x:f>Trading_Raw!I50</x:f>
        <x:v>68457.274131</x:v>
      </x:c>
      <x:c r="J50" t="n">
        <x:f>Trading_Raw!J50</x:f>
        <x:v>72626.011384</x:v>
      </x:c>
      <x:c r="K50" t="n">
        <x:f>Trading_Raw!K50</x:f>
        <x:v>100</x:v>
      </x:c>
      <x:c r="L50" t="n">
        <x:f>Trading_Raw!L50</x:f>
        <x:v>10</x:v>
      </x:c>
      <x:c r="M50" t="n">
        <x:f>Trading_Raw!M50</x:f>
        <x:v>0.8</x:v>
      </x:c>
      <x:c r="N50" t="str">
        <x:f>Trading_Raw!N50</x:f>
        <x:v>Trend continuation</x:v>
      </x:c>
      <x:c r="O50" t="str">
        <x:f>Trading_Raw!O50</x:f>
        <x:v>Late entry</x:v>
      </x:c>
      <x:c r="P50" s="76" t="n">
        <x:f>IF(F50="Long",(H50-G50)/G50*K50*L50,(G50-H50)/G50*K50*L50)-M50</x:f>
        <x:v>2.1647337383394687</x:v>
      </x:c>
      <x:c r="Q50" s="78" t="n">
        <x:f>P50/K50</x:f>
        <x:v>0.021647337383394687</x:v>
      </x:c>
      <x:c r="R50" s="78" t="n">
        <x:f>IF(F50="Long",(G50-I50)/G50,(I50-G50)/G50)</x:f>
        <x:v>0.017475709776026215</x:v>
      </x:c>
      <x:c r="S50" s="78" t="n">
        <x:f>IF(F50="Long",(J50-G50)/G50,(G50-J50)/G50)</x:f>
        <x:v>0.04235555961977483</x:v>
      </x:c>
      <x:c r="T50" s="80" t="n">
        <x:f>IFERROR(P50/(K50*L50*R50),0)</x:f>
        <x:v>0.1238710053029792</x:v>
      </x:c>
      <x:c r="U50" t="str">
        <x:f>IF(P50&gt;0,"Win",IF(P50&lt;0,"Loss","Breakeven"))</x:f>
        <x:v>Win</x:v>
      </x:c>
      <x:c r="V50" s="76" t="n">
        <x:f>SUM($P$5:P50)</x:f>
        <x:v>488.173071569457</x:v>
      </x:c>
    </x:row>
    <x:row r="51">
      <x:c r="A51" t="n">
        <x:f>Trading_Raw!A51</x:f>
        <x:v>47</x:v>
      </x:c>
      <x:c r="B51" s="72" t="n">
        <x:f>Trading_Raw!B51</x:f>
        <x:v>46083.041666666664</x:v>
      </x:c>
      <x:c r="C51" t="str">
        <x:f>Trading_Raw!C51</x:f>
        <x:v>SOLUSDT</x:v>
      </x:c>
      <x:c r="D51" t="str">
        <x:f>Trading_Raw!D51</x:f>
        <x:v>Binance</x:v>
      </x:c>
      <x:c r="E51" t="str">
        <x:f>Trading_Raw!E51</x:f>
        <x:v>5m</x:v>
      </x:c>
      <x:c r="F51" t="str">
        <x:f>Trading_Raw!F51</x:f>
        <x:v>Short</x:v>
      </x:c>
      <x:c r="G51" t="n">
        <x:f>Trading_Raw!G51</x:f>
        <x:v>145.721644</x:v>
      </x:c>
      <x:c r="H51" t="n">
        <x:f>Trading_Raw!H51</x:f>
        <x:v>152.187032</x:v>
      </x:c>
      <x:c r="I51" t="n">
        <x:f>Trading_Raw!I51</x:f>
        <x:v>147.4247</x:v>
      </x:c>
      <x:c r="J51" t="n">
        <x:f>Trading_Raw!J51</x:f>
        <x:v>138.473598</x:v>
      </x:c>
      <x:c r="K51" t="n">
        <x:f>Trading_Raw!K51</x:f>
        <x:v>200</x:v>
      </x:c>
      <x:c r="L51" t="n">
        <x:f>Trading_Raw!L51</x:f>
        <x:v>3</x:v>
      </x:c>
      <x:c r="M51" t="n">
        <x:f>Trading_Raw!M51</x:f>
        <x:v>0.48</x:v>
      </x:c>
      <x:c r="N51" t="str">
        <x:f>Trading_Raw!N51</x:f>
        <x:v>Trend continuation</x:v>
      </x:c>
      <x:c r="O51" t="str">
        <x:f>Trading_Raw!O51</x:f>
        <x:v>None</x:v>
      </x:c>
      <x:c r="P51" s="76" t="n">
        <x:f>IF(F51="Long",(H51-G51)/G51*K51*L51,(G51-H51)/G51*K51*L51)-M51</x:f>
        <x:v>-27.100841582050737</x:v>
      </x:c>
      <x:c r="Q51" s="78" t="n">
        <x:f>P51/K51</x:f>
        <x:v>-0.1355042079102537</x:v>
      </x:c>
      <x:c r="R51" s="78" t="n">
        <x:f>IF(F51="Long",(G51-I51)/G51,(I51-G51)/G51)</x:f>
        <x:v>0.011687049042625429</x:v>
      </x:c>
      <x:c r="S51" s="78" t="n">
        <x:f>IF(F51="Long",(J51-G51)/G51,(G51-J51)/G51)</x:f>
        <x:v>0.049738980435878065</x:v>
      </x:c>
      <x:c r="T51" s="80" t="n">
        <x:f>IFERROR(P51/(K51*L51*R51),0)</x:f>
        <x:v>-3.864796762525705</x:v>
      </x:c>
      <x:c r="U51" t="str">
        <x:f>IF(P51&gt;0,"Win",IF(P51&lt;0,"Loss","Breakeven"))</x:f>
        <x:v>Loss</x:v>
      </x:c>
      <x:c r="V51" s="76" t="n">
        <x:f>SUM($P$5:P51)</x:f>
        <x:v>461.0722299874063</x:v>
      </x:c>
    </x:row>
    <x:row r="52">
      <x:c r="A52" t="n">
        <x:f>Trading_Raw!A52</x:f>
        <x:v>48</x:v>
      </x:c>
      <x:c r="B52" s="72" t="n">
        <x:f>Trading_Raw!B52</x:f>
        <x:v>46098.458333333336</x:v>
      </x:c>
      <x:c r="C52" t="str">
        <x:f>Trading_Raw!C52</x:f>
        <x:v>SOLUSDT</x:v>
      </x:c>
      <x:c r="D52" t="str">
        <x:f>Trading_Raw!D52</x:f>
        <x:v>Binance</x:v>
      </x:c>
      <x:c r="E52" t="str">
        <x:f>Trading_Raw!E52</x:f>
        <x:v>5m</x:v>
      </x:c>
      <x:c r="F52" t="str">
        <x:f>Trading_Raw!F52</x:f>
        <x:v>Long</x:v>
      </x:c>
      <x:c r="G52" t="n">
        <x:f>Trading_Raw!G52</x:f>
        <x:v>148.240813</x:v>
      </x:c>
      <x:c r="H52" t="n">
        <x:f>Trading_Raw!H52</x:f>
        <x:v>149.448226</x:v>
      </x:c>
      <x:c r="I52" t="n">
        <x:f>Trading_Raw!I52</x:f>
        <x:v>146.603358</x:v>
      </x:c>
      <x:c r="J52" t="n">
        <x:f>Trading_Raw!J52</x:f>
        <x:v>154.888557</x:v>
      </x:c>
      <x:c r="K52" t="n">
        <x:f>Trading_Raw!K52</x:f>
        <x:v>250</x:v>
      </x:c>
      <x:c r="L52" t="n">
        <x:f>Trading_Raw!L52</x:f>
        <x:v>10</x:v>
      </x:c>
      <x:c r="M52" t="n">
        <x:f>Trading_Raw!M52</x:f>
        <x:v>2</x:v>
      </x:c>
      <x:c r="N52" t="str">
        <x:f>Trading_Raw!N52</x:f>
        <x:v>Trend continuation</x:v>
      </x:c>
      <x:c r="O52" t="str">
        <x:f>Trading_Raw!O52</x:f>
        <x:v>Late entry</x:v>
      </x:c>
      <x:c r="P52" s="76" t="n">
        <x:f>IF(F52="Long",(H52-G52)/G52*K52*L52,(G52-H52)/G52*K52*L52)-M52</x:f>
        <x:v>18.362357969528986</x:v>
      </x:c>
      <x:c r="Q52" s="78" t="n">
        <x:f>P52/K52</x:f>
        <x:v>0.07344943187811595</x:v>
      </x:c>
      <x:c r="R52" s="78" t="n">
        <x:f>IF(F52="Long",(G52-I52)/G52,(I52-G52)/G52)</x:f>
        <x:v>0.011045912167251922</x:v>
      </x:c>
      <x:c r="S52" s="78" t="n">
        <x:f>IF(F52="Long",(J52-G52)/G52,(G52-J52)/G52)</x:f>
        <x:v>0.044844222488175295</x:v>
      </x:c>
      <x:c r="T52" s="80" t="n">
        <x:f>IFERROR(P52/(K52*L52*R52),0)</x:f>
        <x:v>0.6649467311162696</x:v>
      </x:c>
      <x:c r="U52" t="str">
        <x:f>IF(P52&gt;0,"Win",IF(P52&lt;0,"Loss","Breakeven"))</x:f>
        <x:v>Win</x:v>
      </x:c>
      <x:c r="V52" s="76" t="n">
        <x:f>SUM($P$5:P52)</x:f>
        <x:v>479.4345879569353</x:v>
      </x:c>
    </x:row>
    <x:row r="53">
      <x:c r="A53" t="n">
        <x:f>Trading_Raw!A53</x:f>
        <x:v>49</x:v>
      </x:c>
      <x:c r="B53" s="72" t="n">
        <x:f>Trading_Raw!B53</x:f>
        <x:v>46026.291666666664</x:v>
      </x:c>
      <x:c r="C53" t="str">
        <x:f>Trading_Raw!C53</x:f>
        <x:v>ETHUSDT</x:v>
      </x:c>
      <x:c r="D53" t="str">
        <x:f>Trading_Raw!D53</x:f>
        <x:v>OKX</x:v>
      </x:c>
      <x:c r="E53" t="str">
        <x:f>Trading_Raw!E53</x:f>
        <x:v>5m</x:v>
      </x:c>
      <x:c r="F53" t="str">
        <x:f>Trading_Raw!F53</x:f>
        <x:v>Short</x:v>
      </x:c>
      <x:c r="G53" t="n">
        <x:f>Trading_Raw!G53</x:f>
        <x:v>3754.429482</x:v>
      </x:c>
      <x:c r="H53" t="n">
        <x:f>Trading_Raw!H53</x:f>
        <x:v>3827.91031</x:v>
      </x:c>
      <x:c r="I53" t="n">
        <x:f>Trading_Raw!I53</x:f>
        <x:v>3816.470562</x:v>
      </x:c>
      <x:c r="J53" t="n">
        <x:f>Trading_Raw!J53</x:f>
        <x:v>3627.316264</x:v>
      </x:c>
      <x:c r="K53" t="n">
        <x:f>Trading_Raw!K53</x:f>
        <x:v>750</x:v>
      </x:c>
      <x:c r="L53" t="n">
        <x:f>Trading_Raw!L53</x:f>
        <x:v>10</x:v>
      </x:c>
      <x:c r="M53" t="n">
        <x:f>Trading_Raw!M53</x:f>
        <x:v>6</x:v>
      </x:c>
      <x:c r="N53" t="str">
        <x:f>Trading_Raw!N53</x:f>
        <x:v>Liquidity sweep</x:v>
      </x:c>
      <x:c r="O53" t="str">
        <x:f>Trading_Raw!O53</x:f>
        <x:v>None</x:v>
      </x:c>
      <x:c r="P53" s="76" t="n">
        <x:f>IF(F53="Long",(H53-G53)/G53*K53*L53,(G53-H53)/G53*K53*L53)-M53</x:f>
        <x:v>-152.7882703995881</x:v>
      </x:c>
      <x:c r="Q53" s="78" t="n">
        <x:f>P53/K53</x:f>
        <x:v>-0.20371769386611746</x:v>
      </x:c>
      <x:c r="R53" s="78" t="n">
        <x:f>IF(F53="Long",(G53-I53)/G53,(I53-G53)/G53)</x:f>
        <x:v>0.01652476902214992</x:v>
      </x:c>
      <x:c r="S53" s="78" t="n">
        <x:f>IF(F53="Long",(J53-G53)/G53,(G53-J53)/G53)</x:f>
        <x:v>0.03385686656505964</x:v>
      </x:c>
      <x:c r="T53" s="80" t="n">
        <x:f>IFERROR(P53/(K53*L53*R53),0)</x:f>
        <x:v>-1.232802065753856</x:v>
      </x:c>
      <x:c r="U53" t="str">
        <x:f>IF(P53&gt;0,"Win",IF(P53&lt;0,"Loss","Breakeven"))</x:f>
        <x:v>Loss</x:v>
      </x:c>
      <x:c r="V53" s="76" t="n">
        <x:f>SUM($P$5:P53)</x:f>
        <x:v>326.6463175573472</x:v>
      </x:c>
    </x:row>
    <x:row r="54">
      <x:c r="A54" t="n">
        <x:f>Trading_Raw!A54</x:f>
        <x:v>50</x:v>
      </x:c>
      <x:c r="B54" s="72" t="n">
        <x:f>Trading_Raw!B54</x:f>
        <x:v>46037.25</x:v>
      </x:c>
      <x:c r="C54" t="str">
        <x:f>Trading_Raw!C54</x:f>
        <x:v>XRPUSDT</x:v>
      </x:c>
      <x:c r="D54" t="str">
        <x:f>Trading_Raw!D54</x:f>
        <x:v>OKX</x:v>
      </x:c>
      <x:c r="E54" t="str">
        <x:f>Trading_Raw!E54</x:f>
        <x:v>3m</x:v>
      </x:c>
      <x:c r="F54" t="str">
        <x:f>Trading_Raw!F54</x:f>
        <x:v>Long</x:v>
      </x:c>
      <x:c r="G54" t="n">
        <x:f>Trading_Raw!G54</x:f>
        <x:v>0.584571</x:v>
      </x:c>
      <x:c r="H54" t="n">
        <x:f>Trading_Raw!H54</x:f>
        <x:v>0.584075</x:v>
      </x:c>
      <x:c r="I54" t="n">
        <x:f>Trading_Raw!I54</x:f>
        <x:v>0.574616</x:v>
      </x:c>
      <x:c r="J54" t="n">
        <x:f>Trading_Raw!J54</x:f>
        <x:v>0.595459</x:v>
      </x:c>
      <x:c r="K54" t="n">
        <x:f>Trading_Raw!K54</x:f>
        <x:v>150</x:v>
      </x:c>
      <x:c r="L54" t="n">
        <x:f>Trading_Raw!L54</x:f>
        <x:v>2</x:v>
      </x:c>
      <x:c r="M54" t="n">
        <x:f>Trading_Raw!M54</x:f>
        <x:v>0.24</x:v>
      </x:c>
      <x:c r="N54" t="str">
        <x:f>Trading_Raw!N54</x:f>
        <x:v>Range deviation</x:v>
      </x:c>
      <x:c r="O54" t="str">
        <x:f>Trading_Raw!O54</x:f>
        <x:v>None</x:v>
      </x:c>
      <x:c r="P54" s="76" t="n">
        <x:f>IF(F54="Long",(H54-G54)/G54*K54*L54,(G54-H54)/G54*K54*L54)-M54</x:f>
        <x:v>-0.4945456411624632</x:v>
      </x:c>
      <x:c r="Q54" s="78" t="n">
        <x:f>P54/K54</x:f>
        <x:v>-0.003296970941083088</x:v>
      </x:c>
      <x:c r="R54" s="78" t="n">
        <x:f>IF(F54="Long",(G54-I54)/G54,(I54-G54)/G54)</x:f>
        <x:v>0.017029582377504078</x:v>
      </x:c>
      <x:c r="S54" s="78" t="n">
        <x:f>IF(F54="Long",(J54-G54)/G54,(G54-J54)/G54)</x:f>
        <x:v>0.018625624603341613</x:v>
      </x:c>
      <x:c r="T54" s="80" t="n">
        <x:f>IFERROR(P54/(K54*L54*R54),0)</x:f>
        <x:v>-0.09680128578603185</x:v>
      </x:c>
      <x:c r="U54" t="str">
        <x:f>IF(P54&gt;0,"Win",IF(P54&lt;0,"Loss","Breakeven"))</x:f>
        <x:v>Loss</x:v>
      </x:c>
      <x:c r="V54" s="76" t="n">
        <x:f>SUM($P$5:P54)</x:f>
        <x:v>326.1517719161847</x:v>
      </x:c>
    </x:row>
    <x:row r="55">
      <x:c r="A55" t="n">
        <x:f>Trading_Raw!A55</x:f>
        <x:v>51</x:v>
      </x:c>
      <x:c r="B55" s="72" t="n">
        <x:f>Trading_Raw!B55</x:f>
        <x:v>46096.875</x:v>
      </x:c>
      <x:c r="C55" t="str">
        <x:f>Trading_Raw!C55</x:f>
        <x:v>WLFIUSDT</x:v>
      </x:c>
      <x:c r="D55" t="str">
        <x:f>Trading_Raw!D55</x:f>
        <x:v>Bybit</x:v>
      </x:c>
      <x:c r="E55" t="str">
        <x:f>Trading_Raw!E55</x:f>
        <x:v>3m</x:v>
      </x:c>
      <x:c r="F55" t="str">
        <x:f>Trading_Raw!F55</x:f>
        <x:v>Short</x:v>
      </x:c>
      <x:c r="G55" t="n">
        <x:f>Trading_Raw!G55</x:f>
        <x:v>0.05989</x:v>
      </x:c>
      <x:c r="H55" t="n">
        <x:f>Trading_Raw!H55</x:f>
        <x:v>0.059152</x:v>
      </x:c>
      <x:c r="I55" t="n">
        <x:f>Trading_Raw!I55</x:f>
        <x:v>0.06134</x:v>
      </x:c>
      <x:c r="J55" t="n">
        <x:f>Trading_Raw!J55</x:f>
        <x:v>0.057718</x:v>
      </x:c>
      <x:c r="K55" t="n">
        <x:f>Trading_Raw!K55</x:f>
        <x:v>250</x:v>
      </x:c>
      <x:c r="L55" t="n">
        <x:f>Trading_Raw!L55</x:f>
        <x:v>3</x:v>
      </x:c>
      <x:c r="M55" t="n">
        <x:f>Trading_Raw!M55</x:f>
        <x:v>0.6</x:v>
      </x:c>
      <x:c r="N55" t="str">
        <x:f>Trading_Raw!N55</x:f>
        <x:v>Liquidity sweep</x:v>
      </x:c>
      <x:c r="O55" t="str">
        <x:f>Trading_Raw!O55</x:f>
        <x:v>Oversized</x:v>
      </x:c>
      <x:c r="P55" s="76" t="n">
        <x:f>IF(F55="Long",(H55-G55)/G55*K55*L55,(G55-H55)/G55*K55*L55)-M55</x:f>
        <x:v>8.641943563199145</x:v>
      </x:c>
      <x:c r="Q55" s="78" t="n">
        <x:f>P55/K55</x:f>
        <x:v>0.034567774252796585</x:v>
      </x:c>
      <x:c r="R55" s="78" t="n">
        <x:f>IF(F55="Long",(G55-I55)/G55,(I55-G55)/G55)</x:f>
        <x:v>0.02421105359826348</x:v>
      </x:c>
      <x:c r="S55" s="78" t="n">
        <x:f>IF(F55="Long",(J55-G55)/G55,(G55-J55)/G55)</x:f>
        <x:v>0.03626648856236434</x:v>
      </x:c>
      <x:c r="T55" s="80" t="n">
        <x:f>IFERROR(P55/(K55*L55*R55),0)</x:f>
        <x:v>0.4759227586206868</x:v>
      </x:c>
      <x:c r="U55" t="str">
        <x:f>IF(P55&gt;0,"Win",IF(P55&lt;0,"Loss","Breakeven"))</x:f>
        <x:v>Win</x:v>
      </x:c>
      <x:c r="V55" s="76" t="n">
        <x:f>SUM($P$5:P55)</x:f>
        <x:v>334.7937154793839</x:v>
      </x:c>
    </x:row>
    <x:row r="56">
      <x:c r="A56" t="n">
        <x:f>Trading_Raw!A56</x:f>
        <x:v>52</x:v>
      </x:c>
      <x:c r="B56" s="72" t="n">
        <x:f>Trading_Raw!B56</x:f>
        <x:v>46168.083333333336</x:v>
      </x:c>
      <x:c r="C56" t="str">
        <x:f>Trading_Raw!C56</x:f>
        <x:v>BNBUSDT</x:v>
      </x:c>
      <x:c r="D56" t="str">
        <x:f>Trading_Raw!D56</x:f>
        <x:v>Bybit</x:v>
      </x:c>
      <x:c r="E56" t="str">
        <x:f>Trading_Raw!E56</x:f>
        <x:v>5m</x:v>
      </x:c>
      <x:c r="F56" t="str">
        <x:f>Trading_Raw!F56</x:f>
        <x:v>Long</x:v>
      </x:c>
      <x:c r="G56" t="n">
        <x:f>Trading_Raw!G56</x:f>
        <x:v>596.664696</x:v>
      </x:c>
      <x:c r="H56" t="n">
        <x:f>Trading_Raw!H56</x:f>
        <x:v>592.853022</x:v>
      </x:c>
      <x:c r="I56" t="n">
        <x:f>Trading_Raw!I56</x:f>
        <x:v>583.44615</x:v>
      </x:c>
      <x:c r="J56" t="n">
        <x:f>Trading_Raw!J56</x:f>
        <x:v>611.078579</x:v>
      </x:c>
      <x:c r="K56" t="n">
        <x:f>Trading_Raw!K56</x:f>
        <x:v>750</x:v>
      </x:c>
      <x:c r="L56" t="n">
        <x:f>Trading_Raw!L56</x:f>
        <x:v>10</x:v>
      </x:c>
      <x:c r="M56" t="n">
        <x:f>Trading_Raw!M56</x:f>
        <x:v>6</x:v>
      </x:c>
      <x:c r="N56" t="str">
        <x:f>Trading_Raw!N56</x:f>
        <x:v>Range deviation</x:v>
      </x:c>
      <x:c r="O56" t="str">
        <x:f>Trading_Raw!O56</x:f>
        <x:v>No HTF confirmation</x:v>
      </x:c>
      <x:c r="P56" s="76" t="n">
        <x:f>IF(F56="Long",(H56-G56)/G56*K56*L56,(G56-H56)/G56*K56*L56)-M56</x:f>
        <x:v>-53.91226159625219</x:v>
      </x:c>
      <x:c r="Q56" s="78" t="n">
        <x:f>P56/K56</x:f>
        <x:v>-0.07188301546166959</x:v>
      </x:c>
      <x:c r="R56" s="78" t="n">
        <x:f>IF(F56="Long",(G56-I56)/G56,(I56-G56)/G56)</x:f>
        <x:v>0.02215406087978106</x:v>
      </x:c>
      <x:c r="S56" s="78" t="n">
        <x:f>IF(F56="Long",(J56-G56)/G56,(G56-J56)/G56)</x:f>
        <x:v>0.024157425597039078</x:v>
      </x:c>
      <x:c r="T56" s="80" t="n">
        <x:f>IFERROR(P56/(K56*L56*R56),0)</x:f>
        <x:v>-0.32446879988162236</x:v>
      </x:c>
      <x:c r="U56" t="str">
        <x:f>IF(P56&gt;0,"Win",IF(P56&lt;0,"Loss","Breakeven"))</x:f>
        <x:v>Loss</x:v>
      </x:c>
      <x:c r="V56" s="76" t="n">
        <x:f>SUM($P$5:P56)</x:f>
        <x:v>280.8814538831317</x:v>
      </x:c>
    </x:row>
    <x:row r="57">
      <x:c r="A57" t="n">
        <x:f>Trading_Raw!A57</x:f>
        <x:v>53</x:v>
      </x:c>
      <x:c r="B57" s="72" t="n">
        <x:f>Trading_Raw!B57</x:f>
        <x:v>46039.041666666664</x:v>
      </x:c>
      <x:c r="C57" t="str">
        <x:f>Trading_Raw!C57</x:f>
        <x:v>ADAUSDT</x:v>
      </x:c>
      <x:c r="D57" t="str">
        <x:f>Trading_Raw!D57</x:f>
        <x:v>Bybit</x:v>
      </x:c>
      <x:c r="E57" t="str">
        <x:f>Trading_Raw!E57</x:f>
        <x:v>5m</x:v>
      </x:c>
      <x:c r="F57" t="str">
        <x:f>Trading_Raw!F57</x:f>
        <x:v>Long</x:v>
      </x:c>
      <x:c r="G57" t="n">
        <x:f>Trading_Raw!G57</x:f>
        <x:v>0.485167</x:v>
      </x:c>
      <x:c r="H57" t="n">
        <x:f>Trading_Raw!H57</x:f>
        <x:v>0.468442</x:v>
      </x:c>
      <x:c r="I57" t="n">
        <x:f>Trading_Raw!I57</x:f>
        <x:v>0.477006</x:v>
      </x:c>
      <x:c r="J57" t="n">
        <x:f>Trading_Raw!J57</x:f>
        <x:v>0.496022</x:v>
      </x:c>
      <x:c r="K57" t="n">
        <x:f>Trading_Raw!K57</x:f>
        <x:v>200</x:v>
      </x:c>
      <x:c r="L57" t="n">
        <x:f>Trading_Raw!L57</x:f>
        <x:v>3</x:v>
      </x:c>
      <x:c r="M57" t="n">
        <x:f>Trading_Raw!M57</x:f>
        <x:v>0.48</x:v>
      </x:c>
      <x:c r="N57" t="str">
        <x:f>Trading_Raw!N57</x:f>
        <x:v>Liquidity sweep</x:v>
      </x:c>
      <x:c r="O57" t="str">
        <x:f>Trading_Raw!O57</x:f>
        <x:v>No HTF confirmation</x:v>
      </x:c>
      <x:c r="P57" s="76" t="n">
        <x:f>IF(F57="Long",(H57-G57)/G57*K57*L57,(G57-H57)/G57*K57*L57)-M57</x:f>
        <x:v>-21.16359966774326</x:v>
      </x:c>
      <x:c r="Q57" s="78" t="n">
        <x:f>P57/K57</x:f>
        <x:v>-0.1058179983387163</x:v>
      </x:c>
      <x:c r="R57" s="78" t="n">
        <x:f>IF(F57="Long",(G57-I57)/G57,(I57-G57)/G57)</x:f>
        <x:v>0.016821012146333178</x:v>
      </x:c>
      <x:c r="S57" s="78" t="n">
        <x:f>IF(F57="Long",(J57-G57)/G57,(G57-J57)/G57)</x:f>
        <x:v>0.02237373935160471</x:v>
      </x:c>
      <x:c r="T57" s="80" t="n">
        <x:f>IFERROR(P57/(K57*L57*R57),0)</x:f>
        <x:v>-2.096940767062851</x:v>
      </x:c>
      <x:c r="U57" t="str">
        <x:f>IF(P57&gt;0,"Win",IF(P57&lt;0,"Loss","Breakeven"))</x:f>
        <x:v>Loss</x:v>
      </x:c>
      <x:c r="V57" s="76" t="n">
        <x:f>SUM($P$5:P57)</x:f>
        <x:v>259.71785421538846</x:v>
      </x:c>
    </x:row>
    <x:row r="58">
      <x:c r="A58" t="n">
        <x:f>Trading_Raw!A58</x:f>
        <x:v>54</x:v>
      </x:c>
      <x:c r="B58" s="72" t="n">
        <x:f>Trading_Raw!B58</x:f>
        <x:v>46100.125</x:v>
      </x:c>
      <x:c r="C58" t="str">
        <x:f>Trading_Raw!C58</x:f>
        <x:v>BNBUSDT</x:v>
      </x:c>
      <x:c r="D58" t="str">
        <x:f>Trading_Raw!D58</x:f>
        <x:v>Binance</x:v>
      </x:c>
      <x:c r="E58" t="str">
        <x:f>Trading_Raw!E58</x:f>
        <x:v>5m</x:v>
      </x:c>
      <x:c r="F58" t="str">
        <x:f>Trading_Raw!F58</x:f>
        <x:v>Short</x:v>
      </x:c>
      <x:c r="G58" t="n">
        <x:f>Trading_Raw!G58</x:f>
        <x:v>520.364604</x:v>
      </x:c>
      <x:c r="H58" t="n">
        <x:f>Trading_Raw!H58</x:f>
        <x:v>520.480714</x:v>
      </x:c>
      <x:c r="I58" t="n">
        <x:f>Trading_Raw!I58</x:f>
        <x:v>530.921095</x:v>
      </x:c>
      <x:c r="J58" t="n">
        <x:f>Trading_Raw!J58</x:f>
        <x:v>511.725132</x:v>
      </x:c>
      <x:c r="K58" t="n">
        <x:f>Trading_Raw!K58</x:f>
        <x:v>500</x:v>
      </x:c>
      <x:c r="L58" t="n">
        <x:f>Trading_Raw!L58</x:f>
        <x:v>10</x:v>
      </x:c>
      <x:c r="M58" t="n">
        <x:f>Trading_Raw!M58</x:f>
        <x:v>4</x:v>
      </x:c>
      <x:c r="N58" t="str">
        <x:f>Trading_Raw!N58</x:f>
        <x:v>Trend continuation</x:v>
      </x:c>
      <x:c r="O58" t="str">
        <x:f>Trading_Raw!O58</x:f>
        <x:v>No HTF confirmation</x:v>
      </x:c>
      <x:c r="P58" s="76" t="n">
        <x:f>IF(F58="Long",(H58-G58)/G58*K58*L58,(G58-H58)/G58*K58*L58)-M58</x:f>
        <x:v>-5.115660049775876</x:v>
      </x:c>
      <x:c r="Q58" s="78" t="n">
        <x:f>P58/K58</x:f>
        <x:v>-0.010231320099551753</x:v>
      </x:c>
      <x:c r="R58" s="78" t="n">
        <x:f>IF(F58="Long",(G58-I58)/G58,(I58-G58)/G58)</x:f>
        <x:v>0.02028671996298974</x:v>
      </x:c>
      <x:c r="S58" s="78" t="n">
        <x:f>IF(F58="Long",(J58-G58)/G58,(G58-J58)/G58)</x:f>
        <x:v>0.01660272803643657</x:v>
      </x:c>
      <x:c r="T58" s="80" t="n">
        <x:f>IFERROR(P58/(K58*L58*R58),0)</x:f>
        <x:v>-0.0504335847205332</x:v>
      </x:c>
      <x:c r="U58" t="str">
        <x:f>IF(P58&gt;0,"Win",IF(P58&lt;0,"Loss","Breakeven"))</x:f>
        <x:v>Loss</x:v>
      </x:c>
      <x:c r="V58" s="76" t="n">
        <x:f>SUM($P$5:P58)</x:f>
        <x:v>254.6021941656126</x:v>
      </x:c>
    </x:row>
    <x:row r="59">
      <x:c r="A59" t="n">
        <x:f>Trading_Raw!A59</x:f>
        <x:v>55</x:v>
      </x:c>
      <x:c r="B59" s="72" t="n">
        <x:f>Trading_Raw!B59</x:f>
        <x:v>46033.833333333336</x:v>
      </x:c>
      <x:c r="C59" t="str">
        <x:f>Trading_Raw!C59</x:f>
        <x:v>SOLUSDT</x:v>
      </x:c>
      <x:c r="D59" t="str">
        <x:f>Trading_Raw!D59</x:f>
        <x:v>OKX</x:v>
      </x:c>
      <x:c r="E59" t="str">
        <x:f>Trading_Raw!E59</x:f>
        <x:v>3m</x:v>
      </x:c>
      <x:c r="F59" t="str">
        <x:f>Trading_Raw!F59</x:f>
        <x:v>Short</x:v>
      </x:c>
      <x:c r="G59" t="n">
        <x:f>Trading_Raw!G59</x:f>
        <x:v>164.944531</x:v>
      </x:c>
      <x:c r="H59" t="n">
        <x:f>Trading_Raw!H59</x:f>
        <x:v>158.889166</x:v>
      </x:c>
      <x:c r="I59" t="n">
        <x:f>Trading_Raw!I59</x:f>
        <x:v>167.557746</x:v>
      </x:c>
      <x:c r="J59" t="n">
        <x:f>Trading_Raw!J59</x:f>
        <x:v>158.710502</x:v>
      </x:c>
      <x:c r="K59" t="n">
        <x:f>Trading_Raw!K59</x:f>
        <x:v>1000</x:v>
      </x:c>
      <x:c r="L59" t="n">
        <x:f>Trading_Raw!L59</x:f>
        <x:v>3</x:v>
      </x:c>
      <x:c r="M59" t="n">
        <x:f>Trading_Raw!M59</x:f>
        <x:v>2.4</x:v>
      </x:c>
      <x:c r="N59" t="str">
        <x:f>Trading_Raw!N59</x:f>
        <x:v>OB retest</x:v>
      </x:c>
      <x:c r="O59" t="str">
        <x:f>Trading_Raw!O59</x:f>
        <x:v>Oversized</x:v>
      </x:c>
      <x:c r="P59" s="76" t="n">
        <x:f>IF(F59="Long",(H59-G59)/G59*K59*L59,(G59-H59)/G59*K59*L59)-M59</x:f>
        <x:v>107.73457002705999</x:v>
      </x:c>
      <x:c r="Q59" s="78" t="n">
        <x:f>P59/K59</x:f>
        <x:v>0.10773457002705998</x:v>
      </x:c>
      <x:c r="R59" s="78" t="n">
        <x:f>IF(F59="Long",(G59-I59)/G59,(I59-G59)/G59)</x:f>
        <x:v>0.01584299269673874</x:v>
      </x:c>
      <x:c r="S59" s="78" t="n">
        <x:f>IF(F59="Long",(J59-G59)/G59,(G59-J59)/G59)</x:f>
        <x:v>0.037794699601164834</x:v>
      </x:c>
      <x:c r="T59" s="80" t="n">
        <x:f>IFERROR(P59/(K59*L59*R59),0)</x:f>
        <x:v>2.266713368475242</x:v>
      </x:c>
      <x:c r="U59" t="str">
        <x:f>IF(P59&gt;0,"Win",IF(P59&lt;0,"Loss","Breakeven"))</x:f>
        <x:v>Win</x:v>
      </x:c>
      <x:c r="V59" s="76" t="n">
        <x:f>SUM($P$5:P59)</x:f>
        <x:v>362.3367641926726</x:v>
      </x:c>
    </x:row>
    <x:row r="60">
      <x:c r="A60" t="n">
        <x:f>Trading_Raw!A60</x:f>
        <x:v>56</x:v>
      </x:c>
      <x:c r="B60" s="72" t="n">
        <x:f>Trading_Raw!B60</x:f>
        <x:v>46039.833333333336</x:v>
      </x:c>
      <x:c r="C60" t="str">
        <x:f>Trading_Raw!C60</x:f>
        <x:v>FARTCOINUSDT</x:v>
      </x:c>
      <x:c r="D60" t="str">
        <x:f>Trading_Raw!D60</x:f>
        <x:v>Binance</x:v>
      </x:c>
      <x:c r="E60" t="str">
        <x:f>Trading_Raw!E60</x:f>
        <x:v>1h</x:v>
      </x:c>
      <x:c r="F60" t="str">
        <x:f>Trading_Raw!F60</x:f>
        <x:v>Short</x:v>
      </x:c>
      <x:c r="G60" t="n">
        <x:f>Trading_Raw!G60</x:f>
        <x:v>0.168427</x:v>
      </x:c>
      <x:c r="H60" t="n">
        <x:f>Trading_Raw!H60</x:f>
        <x:v>0.165024</x:v>
      </x:c>
      <x:c r="I60" t="n">
        <x:f>Trading_Raw!I60</x:f>
        <x:v>0.172271</x:v>
      </x:c>
      <x:c r="J60" t="n">
        <x:f>Trading_Raw!J60</x:f>
        <x:v>0.164086</x:v>
      </x:c>
      <x:c r="K60" t="n">
        <x:f>Trading_Raw!K60</x:f>
        <x:v>500</x:v>
      </x:c>
      <x:c r="L60" t="n">
        <x:f>Trading_Raw!L60</x:f>
        <x:v>1</x:v>
      </x:c>
      <x:c r="M60" t="n">
        <x:f>Trading_Raw!M60</x:f>
        <x:v>0.4</x:v>
      </x:c>
      <x:c r="N60" t="str">
        <x:f>Trading_Raw!N60</x:f>
        <x:v>Liquidity sweep</x:v>
      </x:c>
      <x:c r="O60" t="str">
        <x:f>Trading_Raw!O60</x:f>
        <x:v>No HTF confirmation</x:v>
      </x:c>
      <x:c r="P60" s="76" t="n">
        <x:f>IF(F60="Long",(H60-G60)/G60*K60*L60,(G60-H60)/G60*K60*L60)-M60</x:f>
        <x:v>9.70229951254843</x:v>
      </x:c>
      <x:c r="Q60" s="78" t="n">
        <x:f>P60/K60</x:f>
        <x:v>0.01940459902509686</x:v>
      </x:c>
      <x:c r="R60" s="78" t="n">
        <x:f>IF(F60="Long",(G60-I60)/G60,(I60-G60)/G60)</x:f>
        <x:v>0.022822944064787798</x:v>
      </x:c>
      <x:c r="S60" s="78" t="n">
        <x:f>IF(F60="Long",(J60-G60)/G60,(G60-J60)/G60)</x:f>
        <x:v>0.025773777363486756</x:v>
      </x:c>
      <x:c r="T60" s="80" t="n">
        <x:f>IFERROR(P60/(K60*L60*R60),0)</x:f>
        <x:v>0.8502233090530636</x:v>
      </x:c>
      <x:c r="U60" t="str">
        <x:f>IF(P60&gt;0,"Win",IF(P60&lt;0,"Loss","Breakeven"))</x:f>
        <x:v>Win</x:v>
      </x:c>
      <x:c r="V60" s="76" t="n">
        <x:f>SUM($P$5:P60)</x:f>
        <x:v>372.03906370522105</x:v>
      </x:c>
    </x:row>
    <x:row r="61">
      <x:c r="A61" t="n">
        <x:f>Trading_Raw!A61</x:f>
        <x:v>57</x:v>
      </x:c>
      <x:c r="B61" s="72" t="n">
        <x:f>Trading_Raw!B61</x:f>
        <x:v>46067.916666666664</x:v>
      </x:c>
      <x:c r="C61" t="str">
        <x:f>Trading_Raw!C61</x:f>
        <x:v>BNBUSDT</x:v>
      </x:c>
      <x:c r="D61" t="str">
        <x:f>Trading_Raw!D61</x:f>
        <x:v>Bybit</x:v>
      </x:c>
      <x:c r="E61" t="str">
        <x:f>Trading_Raw!E61</x:f>
        <x:v>5m</x:v>
      </x:c>
      <x:c r="F61" t="str">
        <x:f>Trading_Raw!F61</x:f>
        <x:v>Long</x:v>
      </x:c>
      <x:c r="G61" t="n">
        <x:f>Trading_Raw!G61</x:f>
        <x:v>656.130911</x:v>
      </x:c>
      <x:c r="H61" t="n">
        <x:f>Trading_Raw!H61</x:f>
        <x:v>651.78199</x:v>
      </x:c>
      <x:c r="I61" t="n">
        <x:f>Trading_Raw!I61</x:f>
        <x:v>642.877107</x:v>
      </x:c>
      <x:c r="J61" t="n">
        <x:f>Trading_Raw!J61</x:f>
        <x:v>679.625677</x:v>
      </x:c>
      <x:c r="K61" t="n">
        <x:f>Trading_Raw!K61</x:f>
        <x:v>150</x:v>
      </x:c>
      <x:c r="L61" t="n">
        <x:f>Trading_Raw!L61</x:f>
        <x:v>3</x:v>
      </x:c>
      <x:c r="M61" t="n">
        <x:f>Trading_Raw!M61</x:f>
        <x:v>0.36</x:v>
      </x:c>
      <x:c r="N61" t="str">
        <x:f>Trading_Raw!N61</x:f>
        <x:v>Trend continuation</x:v>
      </x:c>
      <x:c r="O61" t="str">
        <x:f>Trading_Raw!O61</x:f>
        <x:v>Late entry</x:v>
      </x:c>
      <x:c r="P61" s="76" t="n">
        <x:f>IF(F61="Long",(H61-G61)/G61*K61*L61,(G61-H61)/G61*K61*L61)-M61</x:f>
        <x:v>-3.3426585170592706</x:v>
      </x:c>
      <x:c r="Q61" s="78" t="n">
        <x:f>P61/K61</x:f>
        <x:v>-0.022284390113728472</x:v>
      </x:c>
      <x:c r="R61" s="78" t="n">
        <x:f>IF(F61="Long",(G61-I61)/G61,(I61-G61)/G61)</x:f>
        <x:v>0.020199938423568566</x:v>
      </x:c>
      <x:c r="S61" s="78" t="n">
        <x:f>IF(F61="Long",(J61-G61)/G61,(G61-J61)/G61)</x:f>
        <x:v>0.03580804623911405</x:v>
      </x:c>
      <x:c r="T61" s="80" t="n">
        <x:f>IFERROR(P61/(K61*L61*R61),0)</x:f>
        <x:v>-0.3677303307639103</x:v>
      </x:c>
      <x:c r="U61" t="str">
        <x:f>IF(P61&gt;0,"Win",IF(P61&lt;0,"Loss","Breakeven"))</x:f>
        <x:v>Loss</x:v>
      </x:c>
      <x:c r="V61" s="76" t="n">
        <x:f>SUM($P$5:P61)</x:f>
        <x:v>368.6964051881618</x:v>
      </x:c>
    </x:row>
    <x:row r="62">
      <x:c r="A62" t="n">
        <x:f>Trading_Raw!A62</x:f>
        <x:v>58</x:v>
      </x:c>
      <x:c r="B62" s="72" t="n">
        <x:f>Trading_Raw!B62</x:f>
        <x:v>46046.166666666664</x:v>
      </x:c>
      <x:c r="C62" t="str">
        <x:f>Trading_Raw!C62</x:f>
        <x:v>FARTCOINUSDT</x:v>
      </x:c>
      <x:c r="D62" t="str">
        <x:f>Trading_Raw!D62</x:f>
        <x:v>OKX</x:v>
      </x:c>
      <x:c r="E62" t="str">
        <x:f>Trading_Raw!E62</x:f>
        <x:v>3m</x:v>
      </x:c>
      <x:c r="F62" t="str">
        <x:f>Trading_Raw!F62</x:f>
        <x:v>Long</x:v>
      </x:c>
      <x:c r="G62" t="n">
        <x:f>Trading_Raw!G62</x:f>
        <x:v>0.145506</x:v>
      </x:c>
      <x:c r="H62" t="n">
        <x:f>Trading_Raw!H62</x:f>
        <x:v>0.148145</x:v>
      </x:c>
      <x:c r="I62" t="n">
        <x:f>Trading_Raw!I62</x:f>
        <x:v>0.142816</x:v>
      </x:c>
      <x:c r="J62" t="n">
        <x:f>Trading_Raw!J62</x:f>
        <x:v>0.149626</x:v>
      </x:c>
      <x:c r="K62" t="n">
        <x:f>Trading_Raw!K62</x:f>
        <x:v>500</x:v>
      </x:c>
      <x:c r="L62" t="n">
        <x:f>Trading_Raw!L62</x:f>
        <x:v>10</x:v>
      </x:c>
      <x:c r="M62" t="n">
        <x:f>Trading_Raw!M62</x:f>
        <x:v>4</x:v>
      </x:c>
      <x:c r="N62" t="str">
        <x:f>Trading_Raw!N62</x:f>
        <x:v>Liquidity sweep</x:v>
      </x:c>
      <x:c r="O62" t="str">
        <x:f>Trading_Raw!O62</x:f>
        <x:v>Late entry</x:v>
      </x:c>
      <x:c r="P62" s="76" t="n">
        <x:f>IF(F62="Long",(H62-G62)/G62*K62*L62,(G62-H62)/G62*K62*L62)-M62</x:f>
        <x:v>86.68354569571022</x:v>
      </x:c>
      <x:c r="Q62" s="78" t="n">
        <x:f>P62/K62</x:f>
        <x:v>0.17336709139142045</x:v>
      </x:c>
      <x:c r="R62" s="78" t="n">
        <x:f>IF(F62="Long",(G62-I62)/G62,(I62-G62)/G62)</x:f>
        <x:v>0.018487210149409634</x:v>
      </x:c>
      <x:c r="S62" s="78" t="n">
        <x:f>IF(F62="Long",(J62-G62)/G62,(G62-J62)/G62)</x:f>
        <x:v>0.028314983574560585</x:v>
      </x:c>
      <x:c r="T62" s="80" t="n">
        <x:f>IFERROR(P62/(K62*L62*R62),0)</x:f>
        <x:v>0.9377677323420089</x:v>
      </x:c>
      <x:c r="U62" t="str">
        <x:f>IF(P62&gt;0,"Win",IF(P62&lt;0,"Loss","Breakeven"))</x:f>
        <x:v>Win</x:v>
      </x:c>
      <x:c r="V62" s="76" t="n">
        <x:f>SUM($P$5:P62)</x:f>
        <x:v>455.379950883872</x:v>
      </x:c>
    </x:row>
    <x:row r="63">
      <x:c r="A63" t="n">
        <x:f>Trading_Raw!A63</x:f>
        <x:v>59</x:v>
      </x:c>
      <x:c r="B63" s="72" t="n">
        <x:f>Trading_Raw!B63</x:f>
        <x:v>46155.583333333336</x:v>
      </x:c>
      <x:c r="C63" t="str">
        <x:f>Trading_Raw!C63</x:f>
        <x:v>XRPUSDT</x:v>
      </x:c>
      <x:c r="D63" t="str">
        <x:f>Trading_Raw!D63</x:f>
        <x:v>OKX</x:v>
      </x:c>
      <x:c r="E63" t="str">
        <x:f>Trading_Raw!E63</x:f>
        <x:v>15m</x:v>
      </x:c>
      <x:c r="F63" t="str">
        <x:f>Trading_Raw!F63</x:f>
        <x:v>Long</x:v>
      </x:c>
      <x:c r="G63" t="n">
        <x:f>Trading_Raw!G63</x:f>
        <x:v>0.469367</x:v>
      </x:c>
      <x:c r="H63" t="n">
        <x:f>Trading_Raw!H63</x:f>
        <x:v>0.459127</x:v>
      </x:c>
      <x:c r="I63" t="n">
        <x:f>Trading_Raw!I63</x:f>
        <x:v>0.463734</x:v>
      </x:c>
      <x:c r="J63" t="n">
        <x:f>Trading_Raw!J63</x:f>
        <x:v>0.479263</x:v>
      </x:c>
      <x:c r="K63" t="n">
        <x:f>Trading_Raw!K63</x:f>
        <x:v>250</x:v>
      </x:c>
      <x:c r="L63" t="n">
        <x:f>Trading_Raw!L63</x:f>
        <x:v>1</x:v>
      </x:c>
      <x:c r="M63" t="n">
        <x:f>Trading_Raw!M63</x:f>
        <x:v>0.2</x:v>
      </x:c>
      <x:c r="N63" t="str">
        <x:f>Trading_Raw!N63</x:f>
        <x:v>Range deviation</x:v>
      </x:c>
      <x:c r="O63" t="str">
        <x:f>Trading_Raw!O63</x:f>
        <x:v>Oversized</x:v>
      </x:c>
      <x:c r="P63" s="76" t="n">
        <x:f>IF(F63="Long",(H63-G63)/G63*K63*L63,(G63-H63)/G63*K63*L63)-M63</x:f>
        <x:v>-5.65415421194927</x:v>
      </x:c>
      <x:c r="Q63" s="78" t="n">
        <x:f>P63/K63</x:f>
        <x:v>-0.022616616847797078</x:v>
      </x:c>
      <x:c r="R63" s="78" t="n">
        <x:f>IF(F63="Long",(G63-I63)/G63,(I63-G63)/G63)</x:f>
        <x:v>0.012001269795277467</x:v>
      </x:c>
      <x:c r="S63" s="78" t="n">
        <x:f>IF(F63="Long",(J63-G63)/G63,(G63-J63)/G63)</x:f>
        <x:v>0.02108371487556649</x:v>
      </x:c>
      <x:c r="T63" s="80" t="n">
        <x:f>IFERROR(P63/(K63*L63*R63),0)</x:f>
        <x:v>-1.8845186579087472</x:v>
      </x:c>
      <x:c r="U63" t="str">
        <x:f>IF(P63&gt;0,"Win",IF(P63&lt;0,"Loss","Breakeven"))</x:f>
        <x:v>Loss</x:v>
      </x:c>
      <x:c r="V63" s="76" t="n">
        <x:f>SUM($P$5:P63)</x:f>
        <x:v>449.72579667192275</x:v>
      </x:c>
    </x:row>
    <x:row r="64">
      <x:c r="A64" t="n">
        <x:f>Trading_Raw!A64</x:f>
        <x:v>60</x:v>
      </x:c>
      <x:c r="B64" s="72" t="n">
        <x:f>Trading_Raw!B64</x:f>
        <x:v>46030.5</x:v>
      </x:c>
      <x:c r="C64" t="str">
        <x:f>Trading_Raw!C64</x:f>
        <x:v>FARTCOINUSDT</x:v>
      </x:c>
      <x:c r="D64" t="str">
        <x:f>Trading_Raw!D64</x:f>
        <x:v>Binance</x:v>
      </x:c>
      <x:c r="E64" t="str">
        <x:f>Trading_Raw!E64</x:f>
        <x:v>3m</x:v>
      </x:c>
      <x:c r="F64" t="str">
        <x:f>Trading_Raw!F64</x:f>
        <x:v>Short</x:v>
      </x:c>
      <x:c r="G64" t="n">
        <x:f>Trading_Raw!G64</x:f>
        <x:v>0.174841</x:v>
      </x:c>
      <x:c r="H64" t="n">
        <x:f>Trading_Raw!H64</x:f>
        <x:v>0.172293</x:v>
      </x:c>
      <x:c r="I64" t="n">
        <x:f>Trading_Raw!I64</x:f>
        <x:v>0.178418</x:v>
      </x:c>
      <x:c r="J64" t="n">
        <x:f>Trading_Raw!J64</x:f>
        <x:v>0.17205</x:v>
      </x:c>
      <x:c r="K64" t="n">
        <x:f>Trading_Raw!K64</x:f>
        <x:v>300</x:v>
      </x:c>
      <x:c r="L64" t="n">
        <x:f>Trading_Raw!L64</x:f>
        <x:v>1</x:v>
      </x:c>
      <x:c r="M64" t="n">
        <x:f>Trading_Raw!M64</x:f>
        <x:v>0.24</x:v>
      </x:c>
      <x:c r="N64" t="str">
        <x:f>Trading_Raw!N64</x:f>
        <x:v>Range deviation</x:v>
      </x:c>
      <x:c r="O64" t="str">
        <x:f>Trading_Raw!O64</x:f>
        <x:v>Oversized</x:v>
      </x:c>
      <x:c r="P64" s="76" t="n">
        <x:f>IF(F64="Long",(H64-G64)/G64*K64*L64,(G64-H64)/G64*K64*L64)-M64</x:f>
        <x:v>4.131972249072005</x:v>
      </x:c>
      <x:c r="Q64" s="78" t="n">
        <x:f>P64/K64</x:f>
        <x:v>0.013773240830240016</x:v>
      </x:c>
      <x:c r="R64" s="78" t="n">
        <x:f>IF(F64="Long",(G64-I64)/G64,(I64-G64)/G64)</x:f>
        <x:v>0.020458588088606202</x:v>
      </x:c>
      <x:c r="S64" s="78" t="n">
        <x:f>IF(F64="Long",(J64-G64)/G64,(G64-J64)/G64)</x:f>
        <x:v>0.0159630750224489</x:v>
      </x:c>
      <x:c r="T64" s="80" t="n">
        <x:f>IFERROR(P64/(K64*L64*R64),0)</x:f>
        <x:v>0.6732253844003345</x:v>
      </x:c>
      <x:c r="U64" t="str">
        <x:f>IF(P64&gt;0,"Win",IF(P64&lt;0,"Loss","Breakeven"))</x:f>
        <x:v>Win</x:v>
      </x:c>
      <x:c r="V64" s="76" t="n">
        <x:f>SUM($P$5:P64)</x:f>
        <x:v>453.8577689209948</x:v>
      </x:c>
    </x:row>
    <x:row r="65">
      <x:c r="A65" t="n">
        <x:f>Trading_Raw!A65</x:f>
        <x:v>61</x:v>
      </x:c>
      <x:c r="B65" s="72" t="n">
        <x:f>Trading_Raw!B65</x:f>
        <x:v>46105.833333333336</x:v>
      </x:c>
      <x:c r="C65" t="str">
        <x:f>Trading_Raw!C65</x:f>
        <x:v>BTCUSDT</x:v>
      </x:c>
      <x:c r="D65" t="str">
        <x:f>Trading_Raw!D65</x:f>
        <x:v>Bybit</x:v>
      </x:c>
      <x:c r="E65" t="str">
        <x:f>Trading_Raw!E65</x:f>
        <x:v>15m</x:v>
      </x:c>
      <x:c r="F65" t="str">
        <x:f>Trading_Raw!F65</x:f>
        <x:v>Long</x:v>
      </x:c>
      <x:c r="G65" t="n">
        <x:f>Trading_Raw!G65</x:f>
        <x:v>68247.78135</x:v>
      </x:c>
      <x:c r="H65" t="n">
        <x:f>Trading_Raw!H65</x:f>
        <x:v>66713.306947</x:v>
      </x:c>
      <x:c r="I65" t="n">
        <x:f>Trading_Raw!I65</x:f>
        <x:v>66809.365116</x:v>
      </x:c>
      <x:c r="J65" t="n">
        <x:f>Trading_Raw!J65</x:f>
        <x:v>70169.681392</x:v>
      </x:c>
      <x:c r="K65" t="n">
        <x:f>Trading_Raw!K65</x:f>
        <x:v>100</x:v>
      </x:c>
      <x:c r="L65" t="n">
        <x:f>Trading_Raw!L65</x:f>
        <x:v>2</x:v>
      </x:c>
      <x:c r="M65" t="n">
        <x:f>Trading_Raw!M65</x:f>
        <x:v>0.16</x:v>
      </x:c>
      <x:c r="N65" t="str">
        <x:f>Trading_Raw!N65</x:f>
        <x:v>CVD divergence</x:v>
      </x:c>
      <x:c r="O65" t="str">
        <x:f>Trading_Raw!O65</x:f>
        <x:v>Late entry</x:v>
      </x:c>
      <x:c r="P65" s="76" t="n">
        <x:f>IF(F65="Long",(H65-G65)/G65*K65*L65,(G65-H65)/G65*K65*L65)-M65</x:f>
        <x:v>-4.656774466940236</x:v>
      </x:c>
      <x:c r="Q65" s="78" t="n">
        <x:f>P65/K65</x:f>
        <x:v>-0.04656774466940236</x:v>
      </x:c>
      <x:c r="R65" s="78" t="n">
        <x:f>IF(F65="Long",(G65-I65)/G65,(I65-G65)/G65)</x:f>
        <x:v>0.021076380880768422</x:v>
      </x:c>
      <x:c r="S65" s="78" t="n">
        <x:f>IF(F65="Long",(J65-G65)/G65,(G65-J65)/G65)</x:f>
        <x:v>0.028160623011959547</x:v>
      </x:c>
      <x:c r="T65" s="80" t="n">
        <x:f>IFERROR(P65/(K65*L65*R65),0)</x:f>
        <x:v>-1.1047376903283725</x:v>
      </x:c>
      <x:c r="U65" t="str">
        <x:f>IF(P65&gt;0,"Win",IF(P65&lt;0,"Loss","Breakeven"))</x:f>
        <x:v>Loss</x:v>
      </x:c>
      <x:c r="V65" s="76" t="n">
        <x:f>SUM($P$5:P65)</x:f>
        <x:v>449.2009944540545</x:v>
      </x:c>
    </x:row>
    <x:row r="66">
      <x:c r="A66" t="n">
        <x:f>Trading_Raw!A66</x:f>
        <x:v>62</x:v>
      </x:c>
      <x:c r="B66" s="72" t="n">
        <x:f>Trading_Raw!B66</x:f>
        <x:v>46111.583333333336</x:v>
      </x:c>
      <x:c r="C66" t="str">
        <x:f>Trading_Raw!C66</x:f>
        <x:v>WLFIUSDT</x:v>
      </x:c>
      <x:c r="D66" t="str">
        <x:f>Trading_Raw!D66</x:f>
        <x:v>OKX</x:v>
      </x:c>
      <x:c r="E66" t="str">
        <x:f>Trading_Raw!E66</x:f>
        <x:v>15m</x:v>
      </x:c>
      <x:c r="F66" t="str">
        <x:f>Trading_Raw!F66</x:f>
        <x:v>Short</x:v>
      </x:c>
      <x:c r="G66" t="n">
        <x:f>Trading_Raw!G66</x:f>
        <x:v>0.065498</x:v>
      </x:c>
      <x:c r="H66" t="n">
        <x:f>Trading_Raw!H66</x:f>
        <x:v>0.06729</x:v>
      </x:c>
      <x:c r="I66" t="n">
        <x:f>Trading_Raw!I66</x:f>
        <x:v>0.066032</x:v>
      </x:c>
      <x:c r="J66" t="n">
        <x:f>Trading_Raw!J66</x:f>
        <x:v>0.063244</x:v>
      </x:c>
      <x:c r="K66" t="n">
        <x:f>Trading_Raw!K66</x:f>
        <x:v>500</x:v>
      </x:c>
      <x:c r="L66" t="n">
        <x:f>Trading_Raw!L66</x:f>
        <x:v>3</x:v>
      </x:c>
      <x:c r="M66" t="n">
        <x:f>Trading_Raw!M66</x:f>
        <x:v>1.2</x:v>
      </x:c>
      <x:c r="N66" t="str">
        <x:f>Trading_Raw!N66</x:f>
        <x:v>Range deviation</x:v>
      </x:c>
      <x:c r="O66" t="str">
        <x:f>Trading_Raw!O66</x:f>
        <x:v>No HTF confirmation</x:v>
      </x:c>
      <x:c r="P66" s="76" t="n">
        <x:f>IF(F66="Long",(H66-G66)/G66*K66*L66,(G66-H66)/G66*K66*L66)-M66</x:f>
        <x:v>-42.23942105102451</x:v>
      </x:c>
      <x:c r="Q66" s="78" t="n">
        <x:f>P66/K66</x:f>
        <x:v>-0.08447884210204902</x:v>
      </x:c>
      <x:c r="R66" s="78" t="n">
        <x:f>IF(F66="Long",(G66-I66)/G66,(I66-G66)/G66)</x:f>
        <x:v>0.008152920699868588</x:v>
      </x:c>
      <x:c r="S66" s="78" t="n">
        <x:f>IF(F66="Long",(J66-G66)/G66,(G66-J66)/G66)</x:f>
        <x:v>0.03441326452716122</x:v>
      </x:c>
      <x:c r="T66" s="80" t="n">
        <x:f>IFERROR(P66/(K66*L66*R66),0)</x:f>
        <x:v>-3.453929588015032</x:v>
      </x:c>
      <x:c r="U66" t="str">
        <x:f>IF(P66&gt;0,"Win",IF(P66&lt;0,"Loss","Breakeven"))</x:f>
        <x:v>Loss</x:v>
      </x:c>
      <x:c r="V66" s="76" t="n">
        <x:f>SUM($P$5:P66)</x:f>
        <x:v>406.96157340303</x:v>
      </x:c>
    </x:row>
    <x:row r="67">
      <x:c r="A67" t="n">
        <x:f>Trading_Raw!A67</x:f>
        <x:v>63</x:v>
      </x:c>
      <x:c r="B67" s="72" t="n">
        <x:f>Trading_Raw!B67</x:f>
        <x:v>46042.833333333336</x:v>
      </x:c>
      <x:c r="C67" t="str">
        <x:f>Trading_Raw!C67</x:f>
        <x:v>ETHUSDT</x:v>
      </x:c>
      <x:c r="D67" t="str">
        <x:f>Trading_Raw!D67</x:f>
        <x:v>Binance</x:v>
      </x:c>
      <x:c r="E67" t="str">
        <x:f>Trading_Raw!E67</x:f>
        <x:v>1h</x:v>
      </x:c>
      <x:c r="F67" t="str">
        <x:f>Trading_Raw!F67</x:f>
        <x:v>Short</x:v>
      </x:c>
      <x:c r="G67" t="n">
        <x:f>Trading_Raw!G67</x:f>
        <x:v>3333.343057</x:v>
      </x:c>
      <x:c r="H67" t="n">
        <x:f>Trading_Raw!H67</x:f>
        <x:v>3358.398778</x:v>
      </x:c>
      <x:c r="I67" t="n">
        <x:f>Trading_Raw!I67</x:f>
        <x:v>3361.871579</x:v>
      </x:c>
      <x:c r="J67" t="n">
        <x:f>Trading_Raw!J67</x:f>
        <x:v>3240.591371</x:v>
      </x:c>
      <x:c r="K67" t="n">
        <x:f>Trading_Raw!K67</x:f>
        <x:v>100</x:v>
      </x:c>
      <x:c r="L67" t="n">
        <x:f>Trading_Raw!L67</x:f>
        <x:v>5</x:v>
      </x:c>
      <x:c r="M67" t="n">
        <x:f>Trading_Raw!M67</x:f>
        <x:v>0.4</x:v>
      </x:c>
      <x:c r="N67" t="str">
        <x:f>Trading_Raw!N67</x:f>
        <x:v>CVD divergence</x:v>
      </x:c>
      <x:c r="O67" t="str">
        <x:f>Trading_Raw!O67</x:f>
        <x:v>None</x:v>
      </x:c>
      <x:c r="P67" s="76" t="n">
        <x:f>IF(F67="Long",(H67-G67)/G67*K67*L67,(G67-H67)/G67*K67*L67)-M67</x:f>
        <x:v>-4.158347186525448</x:v>
      </x:c>
      <x:c r="Q67" s="78" t="n">
        <x:f>P67/K67</x:f>
        <x:v>-0.04158347186525448</x:v>
      </x:c>
      <x:c r="R67" s="78" t="n">
        <x:f>IF(F67="Long",(G67-I67)/G67,(I67-G67)/G67)</x:f>
        <x:v>0.008558531633907391</x:v>
      </x:c>
      <x:c r="S67" s="78" t="n">
        <x:f>IF(F67="Long",(J67-G67)/G67,(G67-J67)/G67)</x:f>
        <x:v>0.02782542463045383</x:v>
      </x:c>
      <x:c r="T67" s="80" t="n">
        <x:f>IFERROR(P67/(K67*L67*R67),0)</x:f>
        <x:v>-0.9717431364162542</x:v>
      </x:c>
      <x:c r="U67" t="str">
        <x:f>IF(P67&gt;0,"Win",IF(P67&lt;0,"Loss","Breakeven"))</x:f>
        <x:v>Loss</x:v>
      </x:c>
      <x:c r="V67" s="76" t="n">
        <x:f>SUM($P$5:P67)</x:f>
        <x:v>402.8032262165045</x:v>
      </x:c>
    </x:row>
    <x:row r="68">
      <x:c r="A68" t="n">
        <x:f>Trading_Raw!A68</x:f>
        <x:v>64</x:v>
      </x:c>
      <x:c r="B68" s="72" t="n">
        <x:f>Trading_Raw!B68</x:f>
        <x:v>46061.333333333336</x:v>
      </x:c>
      <x:c r="C68" t="str">
        <x:f>Trading_Raw!C68</x:f>
        <x:v>XRPUSDT</x:v>
      </x:c>
      <x:c r="D68" t="str">
        <x:f>Trading_Raw!D68</x:f>
        <x:v>Binance</x:v>
      </x:c>
      <x:c r="E68" t="str">
        <x:f>Trading_Raw!E68</x:f>
        <x:v>1h</x:v>
      </x:c>
      <x:c r="F68" t="str">
        <x:f>Trading_Raw!F68</x:f>
        <x:v>Short</x:v>
      </x:c>
      <x:c r="G68" t="n">
        <x:f>Trading_Raw!G68</x:f>
        <x:v>0.483483</x:v>
      </x:c>
      <x:c r="H68" t="n">
        <x:f>Trading_Raw!H68</x:f>
        <x:v>0.481181</x:v>
      </x:c>
      <x:c r="I68" t="n">
        <x:f>Trading_Raw!I68</x:f>
        <x:v>0.487553</x:v>
      </x:c>
      <x:c r="J68" t="n">
        <x:f>Trading_Raw!J68</x:f>
        <x:v>0.473617</x:v>
      </x:c>
      <x:c r="K68" t="n">
        <x:f>Trading_Raw!K68</x:f>
        <x:v>100</x:v>
      </x:c>
      <x:c r="L68" t="n">
        <x:f>Trading_Raw!L68</x:f>
        <x:v>3</x:v>
      </x:c>
      <x:c r="M68" t="n">
        <x:f>Trading_Raw!M68</x:f>
        <x:v>0.24</x:v>
      </x:c>
      <x:c r="N68" t="str">
        <x:f>Trading_Raw!N68</x:f>
        <x:v>CVD divergence</x:v>
      </x:c>
      <x:c r="O68" t="str">
        <x:f>Trading_Raw!O68</x:f>
        <x:v>Oversized</x:v>
      </x:c>
      <x:c r="P68" s="76" t="n">
        <x:f>IF(F68="Long",(H68-G68)/G68*K68*L68,(G68-H68)/G68*K68*L68)-M68</x:f>
        <x:v>1.1883852793169383</x:v>
      </x:c>
      <x:c r="Q68" s="78" t="n">
        <x:f>P68/K68</x:f>
        <x:v>0.011883852793169383</x:v>
      </x:c>
      <x:c r="R68" s="78" t="n">
        <x:f>IF(F68="Long",(G68-I68)/G68,(I68-G68)/G68)</x:f>
        <x:v>0.00841808295224448</x:v>
      </x:c>
      <x:c r="S68" s="78" t="n">
        <x:f>IF(F68="Long",(J68-G68)/G68,(G68-J68)/G68)</x:f>
        <x:v>0.020406094940256404</x:v>
      </x:c>
      <x:c r="T68" s="80" t="n">
        <x:f>IFERROR(P68/(K68*L68*R68),0)</x:f>
        <x:v>0.47056845208844283</x:v>
      </x:c>
      <x:c r="U68" t="str">
        <x:f>IF(P68&gt;0,"Win",IF(P68&lt;0,"Loss","Breakeven"))</x:f>
        <x:v>Win</x:v>
      </x:c>
      <x:c r="V68" s="76" t="n">
        <x:f>SUM($P$5:P68)</x:f>
        <x:v>403.9916114958215</x:v>
      </x:c>
    </x:row>
    <x:row r="69">
      <x:c r="A69" t="n">
        <x:f>Trading_Raw!A69</x:f>
        <x:v>65</x:v>
      </x:c>
      <x:c r="B69" s="72" t="n">
        <x:f>Trading_Raw!B69</x:f>
        <x:v>46145</x:v>
      </x:c>
      <x:c r="C69" t="str">
        <x:f>Trading_Raw!C69</x:f>
        <x:v>BTCUSDT</x:v>
      </x:c>
      <x:c r="D69" t="str">
        <x:f>Trading_Raw!D69</x:f>
        <x:v>OKX</x:v>
      </x:c>
      <x:c r="E69" t="str">
        <x:f>Trading_Raw!E69</x:f>
        <x:v>5m</x:v>
      </x:c>
      <x:c r="F69" t="str">
        <x:f>Trading_Raw!F69</x:f>
        <x:v>Long</x:v>
      </x:c>
      <x:c r="G69" t="n">
        <x:f>Trading_Raw!G69</x:f>
        <x:v>67165.262576</x:v>
      </x:c>
      <x:c r="H69" t="n">
        <x:f>Trading_Raw!H69</x:f>
        <x:v>65310.913661</x:v>
      </x:c>
      <x:c r="I69" t="n">
        <x:f>Trading_Raw!I69</x:f>
        <x:v>65635.038744</x:v>
      </x:c>
      <x:c r="J69" t="n">
        <x:f>Trading_Raw!J69</x:f>
        <x:v>69053.043279</x:v>
      </x:c>
      <x:c r="K69" t="n">
        <x:f>Trading_Raw!K69</x:f>
        <x:v>1000</x:v>
      </x:c>
      <x:c r="L69" t="n">
        <x:f>Trading_Raw!L69</x:f>
        <x:v>2</x:v>
      </x:c>
      <x:c r="M69" t="n">
        <x:f>Trading_Raw!M69</x:f>
        <x:v>1.6</x:v>
      </x:c>
      <x:c r="N69" t="str">
        <x:f>Trading_Raw!N69</x:f>
        <x:v>CVD divergence</x:v>
      </x:c>
      <x:c r="O69" t="str">
        <x:f>Trading_Raw!O69</x:f>
        <x:v>Ignored funding</x:v>
      </x:c>
      <x:c r="P69" s="76" t="n">
        <x:f>IF(F69="Long",(H69-G69)/G69*K69*L69,(G69-H69)/G69*K69*L69)-M69</x:f>
        <x:v>-56.81749916191365</x:v>
      </x:c>
      <x:c r="Q69" s="78" t="n">
        <x:f>P69/K69</x:f>
        <x:v>-0.05681749916191365</x:v>
      </x:c>
      <x:c r="R69" s="78" t="n">
        <x:f>IF(F69="Long",(G69-I69)/G69,(I69-G69)/G69)</x:f>
        <x:v>0.022782965082113443</x:v>
      </x:c>
      <x:c r="S69" s="78" t="n">
        <x:f>IF(F69="Long",(J69-G69)/G69,(G69-J69)/G69)</x:f>
        <x:v>0.028106503728231796</x:v>
      </x:c>
      <x:c r="T69" s="80" t="n">
        <x:f>IFERROR(P69/(K69*L69*R69),0)</x:f>
        <x:v>-1.2469294263748005</x:v>
      </x:c>
      <x:c r="U69" t="str">
        <x:f>IF(P69&gt;0,"Win",IF(P69&lt;0,"Loss","Breakeven"))</x:f>
        <x:v>Loss</x:v>
      </x:c>
      <x:c r="V69" s="76" t="n">
        <x:f>SUM($P$5:P69)</x:f>
        <x:v>347.17411233390783</x:v>
      </x:c>
    </x:row>
    <x:row r="70">
      <x:c r="A70" t="n">
        <x:f>Trading_Raw!A70</x:f>
        <x:v>66</x:v>
      </x:c>
      <x:c r="B70" s="72" t="n">
        <x:f>Trading_Raw!B70</x:f>
        <x:v>46102.791666666664</x:v>
      </x:c>
      <x:c r="C70" t="str">
        <x:f>Trading_Raw!C70</x:f>
        <x:v>SOLUSDT</x:v>
      </x:c>
      <x:c r="D70" t="str">
        <x:f>Trading_Raw!D70</x:f>
        <x:v>Bybit</x:v>
      </x:c>
      <x:c r="E70" t="str">
        <x:f>Trading_Raw!E70</x:f>
        <x:v>15m</x:v>
      </x:c>
      <x:c r="F70" t="str">
        <x:f>Trading_Raw!F70</x:f>
        <x:v>Short</x:v>
      </x:c>
      <x:c r="G70" t="n">
        <x:f>Trading_Raw!G70</x:f>
        <x:v>154.649822</x:v>
      </x:c>
      <x:c r="H70" t="n">
        <x:f>Trading_Raw!H70</x:f>
        <x:v>155.894483</x:v>
      </x:c>
      <x:c r="I70" t="n">
        <x:f>Trading_Raw!I70</x:f>
        <x:v>157.474154</x:v>
      </x:c>
      <x:c r="J70" t="n">
        <x:f>Trading_Raw!J70</x:f>
        <x:v>148.625811</x:v>
      </x:c>
      <x:c r="K70" t="n">
        <x:f>Trading_Raw!K70</x:f>
        <x:v>300</x:v>
      </x:c>
      <x:c r="L70" t="n">
        <x:f>Trading_Raw!L70</x:f>
        <x:v>1</x:v>
      </x:c>
      <x:c r="M70" t="n">
        <x:f>Trading_Raw!M70</x:f>
        <x:v>0.24</x:v>
      </x:c>
      <x:c r="N70" t="str">
        <x:f>Trading_Raw!N70</x:f>
        <x:v>Liquidity sweep</x:v>
      </x:c>
      <x:c r="O70" t="str">
        <x:f>Trading_Raw!O70</x:f>
        <x:v>None</x:v>
      </x:c>
      <x:c r="P70" s="76" t="n">
        <x:f>IF(F70="Long",(H70-G70)/G70*K70*L70,(G70-H70)/G70*K70*L70)-M70</x:f>
        <x:v>-2.654476105895565</x:v>
      </x:c>
      <x:c r="Q70" s="78" t="n">
        <x:f>P70/K70</x:f>
        <x:v>-0.008848253686318551</x:v>
      </x:c>
      <x:c r="R70" s="78" t="n">
        <x:f>IF(F70="Long",(G70-I70)/G70,(I70-G70)/G70)</x:f>
        <x:v>0.018262756228713914</x:v>
      </x:c>
      <x:c r="S70" s="78" t="n">
        <x:f>IF(F70="Long",(J70-G70)/G70,(G70-J70)/G70)</x:f>
        <x:v>0.03895258928911022</x:v>
      </x:c>
      <x:c r="T70" s="80" t="n">
        <x:f>IFERROR(P70/(K70*L70*R70),0)</x:f>
        <x:v>-0.48449716874645354</x:v>
      </x:c>
      <x:c r="U70" t="str">
        <x:f>IF(P70&gt;0,"Win",IF(P70&lt;0,"Loss","Breakeven"))</x:f>
        <x:v>Loss</x:v>
      </x:c>
      <x:c r="V70" s="76" t="n">
        <x:f>SUM($P$5:P70)</x:f>
        <x:v>344.51963622801225</x:v>
      </x:c>
    </x:row>
    <x:row r="71">
      <x:c r="A71" t="n">
        <x:f>Trading_Raw!A71</x:f>
        <x:v>67</x:v>
      </x:c>
      <x:c r="B71" s="72" t="n">
        <x:f>Trading_Raw!B71</x:f>
        <x:v>46084.25</x:v>
      </x:c>
      <x:c r="C71" t="str">
        <x:f>Trading_Raw!C71</x:f>
        <x:v>ADAUSDT</x:v>
      </x:c>
      <x:c r="D71" t="str">
        <x:f>Trading_Raw!D71</x:f>
        <x:v>Binance</x:v>
      </x:c>
      <x:c r="E71" t="str">
        <x:f>Trading_Raw!E71</x:f>
        <x:v>5m</x:v>
      </x:c>
      <x:c r="F71" t="str">
        <x:f>Trading_Raw!F71</x:f>
        <x:v>Short</x:v>
      </x:c>
      <x:c r="G71" t="n">
        <x:f>Trading_Raw!G71</x:f>
        <x:v>0.469367</x:v>
      </x:c>
      <x:c r="H71" t="n">
        <x:f>Trading_Raw!H71</x:f>
        <x:v>0.48769</x:v>
      </x:c>
      <x:c r="I71" t="n">
        <x:f>Trading_Raw!I71</x:f>
        <x:v>0.477053</x:v>
      </x:c>
      <x:c r="J71" t="n">
        <x:f>Trading_Raw!J71</x:f>
        <x:v>0.448901</x:v>
      </x:c>
      <x:c r="K71" t="n">
        <x:f>Trading_Raw!K71</x:f>
        <x:v>1000</x:v>
      </x:c>
      <x:c r="L71" t="n">
        <x:f>Trading_Raw!L71</x:f>
        <x:v>3</x:v>
      </x:c>
      <x:c r="M71" t="n">
        <x:f>Trading_Raw!M71</x:f>
        <x:v>2.4</x:v>
      </x:c>
      <x:c r="N71" t="str">
        <x:f>Trading_Raw!N71</x:f>
        <x:v>OB retest</x:v>
      </x:c>
      <x:c r="O71" t="str">
        <x:f>Trading_Raw!O71</x:f>
        <x:v>No HTF confirmation</x:v>
      </x:c>
      <x:c r="P71" s="76" t="n">
        <x:f>IF(F71="Long",(H71-G71)/G71*K71*L71,(G71-H71)/G71*K71*L71)-M71</x:f>
        <x:v>-119.51304799868782</x:v>
      </x:c>
      <x:c r="Q71" s="78" t="n">
        <x:f>P71/K71</x:f>
        <x:v>-0.11951304799868782</x:v>
      </x:c>
      <x:c r="R71" s="78" t="n">
        <x:f>IF(F71="Long",(G71-I71)/G71,(I71-G71)/G71)</x:f>
        <x:v>0.01637524580978217</x:v>
      </x:c>
      <x:c r="S71" s="78" t="n">
        <x:f>IF(F71="Long",(J71-G71)/G71,(G71-J71)/G71)</x:f>
        <x:v>0.04360340628974765</x:v>
      </x:c>
      <x:c r="T71" s="80" t="n">
        <x:f>IFERROR(P71/(K71*L71*R71),0)</x:f>
        <x:v>-2.432799063231846</x:v>
      </x:c>
      <x:c r="U71" t="str">
        <x:f>IF(P71&gt;0,"Win",IF(P71&lt;0,"Loss","Breakeven"))</x:f>
        <x:v>Loss</x:v>
      </x:c>
      <x:c r="V71" s="76" t="n">
        <x:f>SUM($P$5:P71)</x:f>
        <x:v>225.00658822932442</x:v>
      </x:c>
    </x:row>
    <x:row r="72">
      <x:c r="A72" t="n">
        <x:f>Trading_Raw!A72</x:f>
        <x:v>68</x:v>
      </x:c>
      <x:c r="B72" s="72" t="n">
        <x:f>Trading_Raw!B72</x:f>
        <x:v>46158.875</x:v>
      </x:c>
      <x:c r="C72" t="str">
        <x:f>Trading_Raw!C72</x:f>
        <x:v>XRPUSDT</x:v>
      </x:c>
      <x:c r="D72" t="str">
        <x:f>Trading_Raw!D72</x:f>
        <x:v>OKX</x:v>
      </x:c>
      <x:c r="E72" t="str">
        <x:f>Trading_Raw!E72</x:f>
        <x:v>5m</x:v>
      </x:c>
      <x:c r="F72" t="str">
        <x:f>Trading_Raw!F72</x:f>
        <x:v>Long</x:v>
      </x:c>
      <x:c r="G72" t="n">
        <x:f>Trading_Raw!G72</x:f>
        <x:v>0.554326</x:v>
      </x:c>
      <x:c r="H72" t="n">
        <x:f>Trading_Raw!H72</x:f>
        <x:v>0.54977</x:v>
      </x:c>
      <x:c r="I72" t="n">
        <x:f>Trading_Raw!I72</x:f>
        <x:v>0.549369</x:v>
      </x:c>
      <x:c r="J72" t="n">
        <x:f>Trading_Raw!J72</x:f>
        <x:v>0.569042</x:v>
      </x:c>
      <x:c r="K72" t="n">
        <x:f>Trading_Raw!K72</x:f>
        <x:v>100</x:v>
      </x:c>
      <x:c r="L72" t="n">
        <x:f>Trading_Raw!L72</x:f>
        <x:v>5</x:v>
      </x:c>
      <x:c r="M72" t="n">
        <x:f>Trading_Raw!M72</x:f>
        <x:v>0.4</x:v>
      </x:c>
      <x:c r="N72" t="str">
        <x:f>Trading_Raw!N72</x:f>
        <x:v>Liquidity sweep</x:v>
      </x:c>
      <x:c r="O72" t="str">
        <x:f>Trading_Raw!O72</x:f>
        <x:v>Oversized</x:v>
      </x:c>
      <x:c r="P72" s="76" t="n">
        <x:f>IF(F72="Long",(H72-G72)/G72*K72*L72,(G72-H72)/G72*K72*L72)-M72</x:f>
        <x:v>-4.5094951346319725</x:v>
      </x:c>
      <x:c r="Q72" s="78" t="n">
        <x:f>P72/K72</x:f>
        <x:v>-0.045094951346319724</x:v>
      </x:c>
      <x:c r="R72" s="78" t="n">
        <x:f>IF(F72="Long",(G72-I72)/G72,(I72-G72)/G72)</x:f>
        <x:v>0.008942391300426084</x:v>
      </x:c>
      <x:c r="S72" s="78" t="n">
        <x:f>IF(F72="Long",(J72-G72)/G72,(G72-J72)/G72)</x:f>
        <x:v>0.026547555048834194</x:v>
      </x:c>
      <x:c r="T72" s="80" t="n">
        <x:f>IFERROR(P72/(K72*L72*R72),0)</x:f>
        <x:v>-1.0085658261045019</x:v>
      </x:c>
      <x:c r="U72" t="str">
        <x:f>IF(P72&gt;0,"Win",IF(P72&lt;0,"Loss","Breakeven"))</x:f>
        <x:v>Loss</x:v>
      </x:c>
      <x:c r="V72" s="76" t="n">
        <x:f>SUM($P$5:P72)</x:f>
        <x:v>220.49709309469245</x:v>
      </x:c>
    </x:row>
    <x:row r="73">
      <x:c r="A73" t="n">
        <x:f>Trading_Raw!A73</x:f>
        <x:v>69</x:v>
      </x:c>
      <x:c r="B73" s="72" t="n">
        <x:f>Trading_Raw!B73</x:f>
        <x:v>46127.5</x:v>
      </x:c>
      <x:c r="C73" t="str">
        <x:f>Trading_Raw!C73</x:f>
        <x:v>ADAUSDT</x:v>
      </x:c>
      <x:c r="D73" t="str">
        <x:f>Trading_Raw!D73</x:f>
        <x:v>Bybit</x:v>
      </x:c>
      <x:c r="E73" t="str">
        <x:f>Trading_Raw!E73</x:f>
        <x:v>15m</x:v>
      </x:c>
      <x:c r="F73" t="str">
        <x:f>Trading_Raw!F73</x:f>
        <x:v>Long</x:v>
      </x:c>
      <x:c r="G73" t="n">
        <x:f>Trading_Raw!G73</x:f>
        <x:v>0.470603</x:v>
      </x:c>
      <x:c r="H73" t="n">
        <x:f>Trading_Raw!H73</x:f>
        <x:v>0.463024</x:v>
      </x:c>
      <x:c r="I73" t="n">
        <x:f>Trading_Raw!I73</x:f>
        <x:v>0.461874</x:v>
      </x:c>
      <x:c r="J73" t="n">
        <x:f>Trading_Raw!J73</x:f>
        <x:v>0.482763</x:v>
      </x:c>
      <x:c r="K73" t="n">
        <x:f>Trading_Raw!K73</x:f>
        <x:v>200</x:v>
      </x:c>
      <x:c r="L73" t="n">
        <x:f>Trading_Raw!L73</x:f>
        <x:v>1</x:v>
      </x:c>
      <x:c r="M73" t="n">
        <x:f>Trading_Raw!M73</x:f>
        <x:v>0.16</x:v>
      </x:c>
      <x:c r="N73" t="str">
        <x:f>Trading_Raw!N73</x:f>
        <x:v>VWAP reclaim</x:v>
      </x:c>
      <x:c r="O73" t="str">
        <x:f>Trading_Raw!O73</x:f>
        <x:v>Moved SL</x:v>
      </x:c>
      <x:c r="P73" s="76" t="n">
        <x:f>IF(F73="Long",(H73-G73)/G73*K73*L73,(G73-H73)/G73*K73*L73)-M73</x:f>
        <x:v>-3.3809739419425724</x:v>
      </x:c>
      <x:c r="Q73" s="78" t="n">
        <x:f>P73/K73</x:f>
        <x:v>-0.01690486970971286</x:v>
      </x:c>
      <x:c r="R73" s="78" t="n">
        <x:f>IF(F73="Long",(G73-I73)/G73,(I73-G73)/G73)</x:f>
        <x:v>0.018548543039462108</x:v>
      </x:c>
      <x:c r="S73" s="78" t="n">
        <x:f>IF(F73="Long",(J73-G73)/G73,(G73-J73)/G73)</x:f>
        <x:v>0.025839189295435865</x:v>
      </x:c>
      <x:c r="T73" s="80" t="n">
        <x:f>IFERROR(P73/(K73*L73*R73),0)</x:f>
        <x:v>-0.9113853133234063</x:v>
      </x:c>
      <x:c r="U73" t="str">
        <x:f>IF(P73&gt;0,"Win",IF(P73&lt;0,"Loss","Breakeven"))</x:f>
        <x:v>Loss</x:v>
      </x:c>
      <x:c r="V73" s="76" t="n">
        <x:f>SUM($P$5:P73)</x:f>
        <x:v>217.11611915274986</x:v>
      </x:c>
    </x:row>
    <x:row r="74">
      <x:c r="A74" t="n">
        <x:f>Trading_Raw!A74</x:f>
        <x:v>70</x:v>
      </x:c>
      <x:c r="B74" s="72" t="n">
        <x:f>Trading_Raw!B74</x:f>
        <x:v>46153.958333333336</x:v>
      </x:c>
      <x:c r="C74" t="str">
        <x:f>Trading_Raw!C74</x:f>
        <x:v>WLFIUSDT</x:v>
      </x:c>
      <x:c r="D74" t="str">
        <x:f>Trading_Raw!D74</x:f>
        <x:v>OKX</x:v>
      </x:c>
      <x:c r="E74" t="str">
        <x:f>Trading_Raw!E74</x:f>
        <x:v>3m</x:v>
      </x:c>
      <x:c r="F74" t="str">
        <x:f>Trading_Raw!F74</x:f>
        <x:v>Long</x:v>
      </x:c>
      <x:c r="G74" t="n">
        <x:f>Trading_Raw!G74</x:f>
        <x:v>0.060748</x:v>
      </x:c>
      <x:c r="H74" t="n">
        <x:f>Trading_Raw!H74</x:f>
        <x:v>0.061436</x:v>
      </x:c>
      <x:c r="I74" t="n">
        <x:f>Trading_Raw!I74</x:f>
        <x:v>0.060214</x:v>
      </x:c>
      <x:c r="J74" t="n">
        <x:f>Trading_Raw!J74</x:f>
        <x:v>0.063678</x:v>
      </x:c>
      <x:c r="K74" t="n">
        <x:f>Trading_Raw!K74</x:f>
        <x:v>300</x:v>
      </x:c>
      <x:c r="L74" t="n">
        <x:f>Trading_Raw!L74</x:f>
        <x:v>3</x:v>
      </x:c>
      <x:c r="M74" t="n">
        <x:f>Trading_Raw!M74</x:f>
        <x:v>0.72</x:v>
      </x:c>
      <x:c r="N74" t="str">
        <x:f>Trading_Raw!N74</x:f>
        <x:v>Range deviation</x:v>
      </x:c>
      <x:c r="O74" t="str">
        <x:f>Trading_Raw!O74</x:f>
        <x:v>No HTF confirmation</x:v>
      </x:c>
      <x:c r="P74" s="76" t="n">
        <x:f>IF(F74="Long",(H74-G74)/G74*K74*L74,(G74-H74)/G74*K74*L74)-M74</x:f>
        <x:v>9.472928162243937</x:v>
      </x:c>
      <x:c r="Q74" s="78" t="n">
        <x:f>P74/K74</x:f>
        <x:v>0.03157642720747979</x:v>
      </x:c>
      <x:c r="R74" s="78" t="n">
        <x:f>IF(F74="Long",(G74-I74)/G74,(I74-G74)/G74)</x:f>
        <x:v>0.008790412853098154</x:v>
      </x:c>
      <x:c r="S74" s="78" t="n">
        <x:f>IF(F74="Long",(J74-G74)/G74,(G74-J74)/G74)</x:f>
        <x:v>0.04823204056100604</x:v>
      </x:c>
      <x:c r="T74" s="80" t="n">
        <x:f>IFERROR(P74/(K74*L74*R74),0)</x:f>
        <x:v>1.1973812734082139</x:v>
      </x:c>
      <x:c r="U74" t="str">
        <x:f>IF(P74&gt;0,"Win",IF(P74&lt;0,"Loss","Breakeven"))</x:f>
        <x:v>Win</x:v>
      </x:c>
      <x:c r="V74" s="76" t="n">
        <x:f>SUM($P$5:P74)</x:f>
        <x:v>226.5890473149938</x:v>
      </x:c>
    </x:row>
    <x:row r="75">
      <x:c r="A75" t="n">
        <x:f>Trading_Raw!A75</x:f>
        <x:v>71</x:v>
      </x:c>
      <x:c r="B75" s="72" t="n">
        <x:f>Trading_Raw!B75</x:f>
        <x:v>46048.25</x:v>
      </x:c>
      <x:c r="C75" t="str">
        <x:f>Trading_Raw!C75</x:f>
        <x:v>XRPUSDT</x:v>
      </x:c>
      <x:c r="D75" t="str">
        <x:f>Trading_Raw!D75</x:f>
        <x:v>Bybit</x:v>
      </x:c>
      <x:c r="E75" t="str">
        <x:f>Trading_Raw!E75</x:f>
        <x:v>15m</x:v>
      </x:c>
      <x:c r="F75" t="str">
        <x:f>Trading_Raw!F75</x:f>
        <x:v>Short</x:v>
      </x:c>
      <x:c r="G75" t="n">
        <x:f>Trading_Raw!G75</x:f>
        <x:v>0.474401</x:v>
      </x:c>
      <x:c r="H75" t="n">
        <x:f>Trading_Raw!H75</x:f>
        <x:v>0.45643</x:v>
      </x:c>
      <x:c r="I75" t="n">
        <x:f>Trading_Raw!I75</x:f>
        <x:v>0.482036</x:v>
      </x:c>
      <x:c r="J75" t="n">
        <x:f>Trading_Raw!J75</x:f>
        <x:v>0.457282</x:v>
      </x:c>
      <x:c r="K75" t="n">
        <x:f>Trading_Raw!K75</x:f>
        <x:v>100</x:v>
      </x:c>
      <x:c r="L75" t="n">
        <x:f>Trading_Raw!L75</x:f>
        <x:v>10</x:v>
      </x:c>
      <x:c r="M75" t="n">
        <x:f>Trading_Raw!M75</x:f>
        <x:v>0.8</x:v>
      </x:c>
      <x:c r="N75" t="str">
        <x:f>Trading_Raw!N75</x:f>
        <x:v>VWAP reclaim</x:v>
      </x:c>
      <x:c r="O75" t="str">
        <x:f>Trading_Raw!O75</x:f>
        <x:v>Moved SL</x:v>
      </x:c>
      <x:c r="P75" s="76" t="n">
        <x:f>IF(F75="Long",(H75-G75)/G75*K75*L75,(G75-H75)/G75*K75*L75)-M75</x:f>
        <x:v>37.08145471868739</x:v>
      </x:c>
      <x:c r="Q75" s="78" t="n">
        <x:f>P75/K75</x:f>
        <x:v>0.3708145471868739</x:v>
      </x:c>
      <x:c r="R75" s="78" t="n">
        <x:f>IF(F75="Long",(G75-I75)/G75,(I75-G75)/G75)</x:f>
        <x:v>0.016093979565810365</x:v>
      </x:c>
      <x:c r="S75" s="78" t="n">
        <x:f>IF(F75="Long",(J75-G75)/G75,(G75-J75)/G75)</x:f>
        <x:v>0.036085505721952515</x:v>
      </x:c>
      <x:c r="T75" s="80" t="n">
        <x:f>IFERROR(P75/(K75*L75*R75),0)</x:f>
        <x:v>2.304057524557958</x:v>
      </x:c>
      <x:c r="U75" t="str">
        <x:f>IF(P75&gt;0,"Win",IF(P75&lt;0,"Loss","Breakeven"))</x:f>
        <x:v>Win</x:v>
      </x:c>
      <x:c r="V75" s="76" t="n">
        <x:f>SUM($P$5:P75)</x:f>
        <x:v>263.6705020336812</x:v>
      </x:c>
    </x:row>
    <x:row r="76">
      <x:c r="A76" t="n">
        <x:f>Trading_Raw!A76</x:f>
        <x:v>72</x:v>
      </x:c>
      <x:c r="B76" s="72" t="n">
        <x:f>Trading_Raw!B76</x:f>
        <x:v>46135.75</x:v>
      </x:c>
      <x:c r="C76" t="str">
        <x:f>Trading_Raw!C76</x:f>
        <x:v>ADAUSDT</x:v>
      </x:c>
      <x:c r="D76" t="str">
        <x:f>Trading_Raw!D76</x:f>
        <x:v>Bybit</x:v>
      </x:c>
      <x:c r="E76" t="str">
        <x:f>Trading_Raw!E76</x:f>
        <x:v>3m</x:v>
      </x:c>
      <x:c r="F76" t="str">
        <x:f>Trading_Raw!F76</x:f>
        <x:v>Long</x:v>
      </x:c>
      <x:c r="G76" t="n">
        <x:f>Trading_Raw!G76</x:f>
        <x:v>0.437379</x:v>
      </x:c>
      <x:c r="H76" t="n">
        <x:f>Trading_Raw!H76</x:f>
        <x:v>0.428819</x:v>
      </x:c>
      <x:c r="I76" t="n">
        <x:f>Trading_Raw!I76</x:f>
        <x:v>0.428872</x:v>
      </x:c>
      <x:c r="J76" t="n">
        <x:f>Trading_Raw!J76</x:f>
        <x:v>0.460931</x:v>
      </x:c>
      <x:c r="K76" t="n">
        <x:f>Trading_Raw!K76</x:f>
        <x:v>750</x:v>
      </x:c>
      <x:c r="L76" t="n">
        <x:f>Trading_Raw!L76</x:f>
        <x:v>3</x:v>
      </x:c>
      <x:c r="M76" t="n">
        <x:f>Trading_Raw!M76</x:f>
        <x:v>1.8</x:v>
      </x:c>
      <x:c r="N76" t="str">
        <x:f>Trading_Raw!N76</x:f>
        <x:v>Range deviation</x:v>
      </x:c>
      <x:c r="O76" t="str">
        <x:f>Trading_Raw!O76</x:f>
        <x:v>None</x:v>
      </x:c>
      <x:c r="P76" s="76" t="n">
        <x:f>IF(F76="Long",(H76-G76)/G76*K76*L76,(G76-H76)/G76*K76*L76)-M76</x:f>
        <x:v>-45.835035975664184</x:v>
      </x:c>
      <x:c r="Q76" s="78" t="n">
        <x:f>P76/K76</x:f>
        <x:v>-0.061113381300885575</x:v>
      </x:c>
      <x:c r="R76" s="78" t="n">
        <x:f>IF(F76="Long",(G76-I76)/G76,(I76-G76)/G76)</x:f>
        <x:v>0.01944995072923035</x:v>
      </x:c>
      <x:c r="S76" s="78" t="n">
        <x:f>IF(F76="Long",(J76-G76)/G76,(G76-J76)/G76)</x:f>
        <x:v>0.053848035685298015</x:v>
      </x:c>
      <x:c r="T76" s="80" t="n">
        <x:f>IFERROR(P76/(K76*L76*R76),0)</x:f>
        <x:v>-1.0473613729869482</x:v>
      </x:c>
      <x:c r="U76" t="str">
        <x:f>IF(P76&gt;0,"Win",IF(P76&lt;0,"Loss","Breakeven"))</x:f>
        <x:v>Loss</x:v>
      </x:c>
      <x:c r="V76" s="76" t="n">
        <x:f>SUM($P$5:P76)</x:f>
        <x:v>217.835466058017</x:v>
      </x:c>
    </x:row>
    <x:row r="77">
      <x:c r="A77" t="n">
        <x:f>Trading_Raw!A77</x:f>
        <x:v>73</x:v>
      </x:c>
      <x:c r="B77" s="72" t="n">
        <x:f>Trading_Raw!B77</x:f>
        <x:v>46124.041666666664</x:v>
      </x:c>
      <x:c r="C77" t="str">
        <x:f>Trading_Raw!C77</x:f>
        <x:v>FARTCOINUSDT</x:v>
      </x:c>
      <x:c r="D77" t="str">
        <x:f>Trading_Raw!D77</x:f>
        <x:v>Binance</x:v>
      </x:c>
      <x:c r="E77" t="str">
        <x:f>Trading_Raw!E77</x:f>
        <x:v>15m</x:v>
      </x:c>
      <x:c r="F77" t="str">
        <x:f>Trading_Raw!F77</x:f>
        <x:v>Short</x:v>
      </x:c>
      <x:c r="G77" t="n">
        <x:f>Trading_Raw!G77</x:f>
        <x:v>0.155083</x:v>
      </x:c>
      <x:c r="H77" t="n">
        <x:f>Trading_Raw!H77</x:f>
        <x:v>0.15172</x:v>
      </x:c>
      <x:c r="I77" t="n">
        <x:f>Trading_Raw!I77</x:f>
        <x:v>0.156491</x:v>
      </x:c>
      <x:c r="J77" t="n">
        <x:f>Trading_Raw!J77</x:f>
        <x:v>0.146756</x:v>
      </x:c>
      <x:c r="K77" t="n">
        <x:f>Trading_Raw!K77</x:f>
        <x:v>100</x:v>
      </x:c>
      <x:c r="L77" t="n">
        <x:f>Trading_Raw!L77</x:f>
        <x:v>10</x:v>
      </x:c>
      <x:c r="M77" t="n">
        <x:f>Trading_Raw!M77</x:f>
        <x:v>0.8</x:v>
      </x:c>
      <x:c r="N77" t="str">
        <x:f>Trading_Raw!N77</x:f>
        <x:v>Range deviation</x:v>
      </x:c>
      <x:c r="O77" t="str">
        <x:f>Trading_Raw!O77</x:f>
        <x:v>Moved SL</x:v>
      </x:c>
      <x:c r="P77" s="76" t="n">
        <x:f>IF(F77="Long",(H77-G77)/G77*K77*L77,(G77-H77)/G77*K77*L77)-M77</x:f>
        <x:v>20.885162138983674</x:v>
      </x:c>
      <x:c r="Q77" s="78" t="n">
        <x:f>P77/K77</x:f>
        <x:v>0.20885162138983673</x:v>
      </x:c>
      <x:c r="R77" s="78" t="n">
        <x:f>IF(F77="Long",(G77-I77)/G77,(I77-G77)/G77)</x:f>
        <x:v>0.009079009304694857</x:v>
      </x:c>
      <x:c r="S77" s="78" t="n">
        <x:f>IF(F77="Long",(J77-G77)/G77,(G77-J77)/G77)</x:f>
        <x:v>0.05369382846604722</x:v>
      </x:c>
      <x:c r="T77" s="80" t="n">
        <x:f>IFERROR(P77/(K77*L77*R77),0)</x:f>
        <x:v>2.300378977272743</x:v>
      </x:c>
      <x:c r="U77" t="str">
        <x:f>IF(P77&gt;0,"Win",IF(P77&lt;0,"Loss","Breakeven"))</x:f>
        <x:v>Win</x:v>
      </x:c>
      <x:c r="V77" s="76" t="n">
        <x:f>SUM($P$5:P77)</x:f>
        <x:v>238.72062819700068</x:v>
      </x:c>
    </x:row>
    <x:row r="78">
      <x:c r="A78" t="n">
        <x:f>Trading_Raw!A78</x:f>
        <x:v>74</x:v>
      </x:c>
      <x:c r="B78" s="72" t="n">
        <x:f>Trading_Raw!B78</x:f>
        <x:v>46079.666666666664</x:v>
      </x:c>
      <x:c r="C78" t="str">
        <x:f>Trading_Raw!C78</x:f>
        <x:v>WLFIUSDT</x:v>
      </x:c>
      <x:c r="D78" t="str">
        <x:f>Trading_Raw!D78</x:f>
        <x:v>OKX</x:v>
      </x:c>
      <x:c r="E78" t="str">
        <x:f>Trading_Raw!E78</x:f>
        <x:v>15m</x:v>
      </x:c>
      <x:c r="F78" t="str">
        <x:f>Trading_Raw!F78</x:f>
        <x:v>Short</x:v>
      </x:c>
      <x:c r="G78" t="n">
        <x:f>Trading_Raw!G78</x:f>
        <x:v>0.066433</x:v>
      </x:c>
      <x:c r="H78" t="n">
        <x:f>Trading_Raw!H78</x:f>
        <x:v>0.065695</x:v>
      </x:c>
      <x:c r="I78" t="n">
        <x:f>Trading_Raw!I78</x:f>
        <x:v>0.067328</x:v>
      </x:c>
      <x:c r="J78" t="n">
        <x:f>Trading_Raw!J78</x:f>
        <x:v>0.063391</x:v>
      </x:c>
      <x:c r="K78" t="n">
        <x:f>Trading_Raw!K78</x:f>
        <x:v>500</x:v>
      </x:c>
      <x:c r="L78" t="n">
        <x:f>Trading_Raw!L78</x:f>
        <x:v>10</x:v>
      </x:c>
      <x:c r="M78" t="n">
        <x:f>Trading_Raw!M78</x:f>
        <x:v>4</x:v>
      </x:c>
      <x:c r="N78" t="str">
        <x:f>Trading_Raw!N78</x:f>
        <x:v>OB retest</x:v>
      </x:c>
      <x:c r="O78" t="str">
        <x:f>Trading_Raw!O78</x:f>
        <x:v>None</x:v>
      </x:c>
      <x:c r="P78" s="76" t="n">
        <x:f>IF(F78="Long",(H78-G78)/G78*K78*L78,(G78-H78)/G78*K78*L78)-M78</x:f>
        <x:v>51.54468411783319</x:v>
      </x:c>
      <x:c r="Q78" s="78" t="n">
        <x:f>P78/K78</x:f>
        <x:v>0.10308936823566639</x:v>
      </x:c>
      <x:c r="R78" s="78" t="n">
        <x:f>IF(F78="Long",(G78-I78)/G78,(I78-G78)/G78)</x:f>
        <x:v>0.013472220131561016</x:v>
      </x:c>
      <x:c r="S78" s="78" t="n">
        <x:f>IF(F78="Long",(J78-G78)/G78,(G78-J78)/G78)</x:f>
        <x:v>0.045790495687384324</x:v>
      </x:c>
      <x:c r="T78" s="80" t="n">
        <x:f>IFERROR(P78/(K78*L78*R78),0)</x:f>
        <x:v>0.7651995530726344</x:v>
      </x:c>
      <x:c r="U78" t="str">
        <x:f>IF(P78&gt;0,"Win",IF(P78&lt;0,"Loss","Breakeven"))</x:f>
        <x:v>Win</x:v>
      </x:c>
      <x:c r="V78" s="76" t="n">
        <x:f>SUM($P$5:P78)</x:f>
        <x:v>290.26531231483386</x:v>
      </x:c>
    </x:row>
    <x:row r="79">
      <x:c r="A79" t="n">
        <x:f>Trading_Raw!A79</x:f>
        <x:v>75</x:v>
      </x:c>
      <x:c r="B79" s="72" t="n">
        <x:f>Trading_Raw!B79</x:f>
        <x:v>46163.291666666664</x:v>
      </x:c>
      <x:c r="C79" t="str">
        <x:f>Trading_Raw!C79</x:f>
        <x:v>XRPUSDT</x:v>
      </x:c>
      <x:c r="D79" t="str">
        <x:f>Trading_Raw!D79</x:f>
        <x:v>Bybit</x:v>
      </x:c>
      <x:c r="E79" t="str">
        <x:f>Trading_Raw!E79</x:f>
        <x:v>15m</x:v>
      </x:c>
      <x:c r="F79" t="str">
        <x:f>Trading_Raw!F79</x:f>
        <x:v>Long</x:v>
      </x:c>
      <x:c r="G79" t="n">
        <x:f>Trading_Raw!G79</x:f>
        <x:v>0.533163</x:v>
      </x:c>
      <x:c r="H79" t="n">
        <x:f>Trading_Raw!H79</x:f>
        <x:v>0.53413</x:v>
      </x:c>
      <x:c r="I79" t="n">
        <x:f>Trading_Raw!I79</x:f>
        <x:v>0.52031</x:v>
      </x:c>
      <x:c r="J79" t="n">
        <x:f>Trading_Raw!J79</x:f>
        <x:v>0.5595</x:v>
      </x:c>
      <x:c r="K79" t="n">
        <x:f>Trading_Raw!K79</x:f>
        <x:v>750</x:v>
      </x:c>
      <x:c r="L79" t="n">
        <x:f>Trading_Raw!L79</x:f>
        <x:v>10</x:v>
      </x:c>
      <x:c r="M79" t="n">
        <x:f>Trading_Raw!M79</x:f>
        <x:v>6</x:v>
      </x:c>
      <x:c r="N79" t="str">
        <x:f>Trading_Raw!N79</x:f>
        <x:v>OB retest</x:v>
      </x:c>
      <x:c r="O79" t="str">
        <x:f>Trading_Raw!O79</x:f>
        <x:v>No HTF confirmation</x:v>
      </x:c>
      <x:c r="P79" s="76" t="n">
        <x:f>IF(F79="Long",(H79-G79)/G79*K79*L79,(G79-H79)/G79*K79*L79)-M79</x:f>
        <x:v>7.602781888464786</x:v>
      </x:c>
      <x:c r="Q79" s="78" t="n">
        <x:f>P79/K79</x:f>
        <x:v>0.010137042517953049</x:v>
      </x:c>
      <x:c r="R79" s="78" t="n">
        <x:f>IF(F79="Long",(G79-I79)/G79,(I79-G79)/G79)</x:f>
        <x:v>0.024107074196821614</x:v>
      </x:c>
      <x:c r="S79" s="78" t="n">
        <x:f>IF(F79="Long",(J79-G79)/G79,(G79-J79)/G79)</x:f>
        <x:v>0.04939765137490775</x:v>
      </x:c>
      <x:c r="T79" s="80" t="n">
        <x:f>IFERROR(P79/(K79*L79*R79),0)</x:f>
        <x:v>0.04205007391270054</x:v>
      </x:c>
      <x:c r="U79" t="str">
        <x:f>IF(P79&gt;0,"Win",IF(P79&lt;0,"Loss","Breakeven"))</x:f>
        <x:v>Win</x:v>
      </x:c>
      <x:c r="V79" s="76" t="n">
        <x:f>SUM($P$5:P79)</x:f>
        <x:v>297.86809420329865</x:v>
      </x:c>
    </x:row>
    <x:row r="80">
      <x:c r="A80" t="n">
        <x:f>Trading_Raw!A80</x:f>
        <x:v>76</x:v>
      </x:c>
      <x:c r="B80" s="72" t="n">
        <x:f>Trading_Raw!B80</x:f>
        <x:v>46098.166666666664</x:v>
      </x:c>
      <x:c r="C80" t="str">
        <x:f>Trading_Raw!C80</x:f>
        <x:v>BTCUSDT</x:v>
      </x:c>
      <x:c r="D80" t="str">
        <x:f>Trading_Raw!D80</x:f>
        <x:v>Binance</x:v>
      </x:c>
      <x:c r="E80" t="str">
        <x:f>Trading_Raw!E80</x:f>
        <x:v>15m</x:v>
      </x:c>
      <x:c r="F80" t="str">
        <x:f>Trading_Raw!F80</x:f>
        <x:v>Long</x:v>
      </x:c>
      <x:c r="G80" t="n">
        <x:f>Trading_Raw!G80</x:f>
        <x:v>72453.601219</x:v>
      </x:c>
      <x:c r="H80" t="n">
        <x:f>Trading_Raw!H80</x:f>
        <x:v>73719.47163</x:v>
      </x:c>
      <x:c r="I80" t="n">
        <x:f>Trading_Raw!I80</x:f>
        <x:v>71295.23541</x:v>
      </x:c>
      <x:c r="J80" t="n">
        <x:f>Trading_Raw!J80</x:f>
        <x:v>75206.261238</x:v>
      </x:c>
      <x:c r="K80" t="n">
        <x:f>Trading_Raw!K80</x:f>
        <x:v>500</x:v>
      </x:c>
      <x:c r="L80" t="n">
        <x:f>Trading_Raw!L80</x:f>
        <x:v>2</x:v>
      </x:c>
      <x:c r="M80" t="n">
        <x:f>Trading_Raw!M80</x:f>
        <x:v>0.8</x:v>
      </x:c>
      <x:c r="N80" t="str">
        <x:f>Trading_Raw!N80</x:f>
        <x:v>VWAP reclaim</x:v>
      </x:c>
      <x:c r="O80" t="str">
        <x:f>Trading_Raw!O80</x:f>
        <x:v>Moved SL</x:v>
      </x:c>
      <x:c r="P80" s="76" t="n">
        <x:f>IF(F80="Long",(H80-G80)/G80*K80*L80,(G80-H80)/G80*K80*L80)-M80</x:f>
        <x:v>16.671462973575956</x:v>
      </x:c>
      <x:c r="Q80" s="78" t="n">
        <x:f>P80/K80</x:f>
        <x:v>0.033342925947151915</x:v>
      </x:c>
      <x:c r="R80" s="78" t="n">
        <x:f>IF(F80="Long",(G80-I80)/G80,(I80-G80)/G80)</x:f>
        <x:v>0.01598769128809354</x:v>
      </x:c>
      <x:c r="S80" s="78" t="n">
        <x:f>IF(F80="Long",(J80-G80)/G80,(G80-J80)/G80)</x:f>
        <x:v>0.03799203866595597</x:v>
      </x:c>
      <x:c r="T80" s="80" t="n">
        <x:f>IFERROR(P80/(K80*L80*R80),0)</x:f>
        <x:v>1.0427686320157832</x:v>
      </x:c>
      <x:c r="U80" t="str">
        <x:f>IF(P80&gt;0,"Win",IF(P80&lt;0,"Loss","Breakeven"))</x:f>
        <x:v>Win</x:v>
      </x:c>
      <x:c r="V80" s="76" t="n">
        <x:f>SUM($P$5:P80)</x:f>
        <x:v>314.5395571768746</x:v>
      </x:c>
    </x:row>
    <x:row r="81">
      <x:c r="A81" t="n">
        <x:f>Trading_Raw!A81</x:f>
        <x:v>77</x:v>
      </x:c>
      <x:c r="B81" s="72" t="n">
        <x:f>Trading_Raw!B81</x:f>
        <x:v>46159.166666666664</x:v>
      </x:c>
      <x:c r="C81" t="str">
        <x:f>Trading_Raw!C81</x:f>
        <x:v>BTCUSDT</x:v>
      </x:c>
      <x:c r="D81" t="str">
        <x:f>Trading_Raw!D81</x:f>
        <x:v>Bybit</x:v>
      </x:c>
      <x:c r="E81" t="str">
        <x:f>Trading_Raw!E81</x:f>
        <x:v>15m</x:v>
      </x:c>
      <x:c r="F81" t="str">
        <x:f>Trading_Raw!F81</x:f>
        <x:v>Long</x:v>
      </x:c>
      <x:c r="G81" t="n">
        <x:f>Trading_Raw!G81</x:f>
        <x:v>76751.254192</x:v>
      </x:c>
      <x:c r="H81" t="n">
        <x:f>Trading_Raw!H81</x:f>
        <x:v>75586.391379</x:v>
      </x:c>
      <x:c r="I81" t="n">
        <x:f>Trading_Raw!I81</x:f>
        <x:v>75032.482313</x:v>
      </x:c>
      <x:c r="J81" t="n">
        <x:f>Trading_Raw!J81</x:f>
        <x:v>79172.728825</x:v>
      </x:c>
      <x:c r="K81" t="n">
        <x:f>Trading_Raw!K81</x:f>
        <x:v>100</x:v>
      </x:c>
      <x:c r="L81" t="n">
        <x:f>Trading_Raw!L81</x:f>
        <x:v>1</x:v>
      </x:c>
      <x:c r="M81" t="n">
        <x:f>Trading_Raw!M81</x:f>
        <x:v>0.08</x:v>
      </x:c>
      <x:c r="N81" t="str">
        <x:f>Trading_Raw!N81</x:f>
        <x:v>CVD divergence</x:v>
      </x:c>
      <x:c r="O81" t="str">
        <x:f>Trading_Raw!O81</x:f>
        <x:v>Oversized</x:v>
      </x:c>
      <x:c r="P81" s="76" t="n">
        <x:f>IF(F81="Long",(H81-G81)/G81*K81*L81,(G81-H81)/G81*K81*L81)-M81</x:f>
        <x:v>-1.5977117628410258</x:v>
      </x:c>
      <x:c r="Q81" s="78" t="n">
        <x:f>P81/K81</x:f>
        <x:v>-0.015977117628410257</x:v>
      </x:c>
      <x:c r="R81" s="78" t="n">
        <x:f>IF(F81="Long",(G81-I81)/G81,(I81-G81)/G81)</x:f>
        <x:v>0.022394055929044938</x:v>
      </x:c>
      <x:c r="S81" s="78" t="n">
        <x:f>IF(F81="Long",(J81-G81)/G81,(G81-J81)/G81)</x:f>
        <x:v>0.031549642523657974</x:v>
      </x:c>
      <x:c r="T81" s="80" t="n">
        <x:f>IFERROR(P81/(K81*L81*R81),0)</x:f>
        <x:v>-0.7134535020825793</x:v>
      </x:c>
      <x:c r="U81" t="str">
        <x:f>IF(P81&gt;0,"Win",IF(P81&lt;0,"Loss","Breakeven"))</x:f>
        <x:v>Loss</x:v>
      </x:c>
      <x:c r="V81" s="76" t="n">
        <x:f>SUM($P$5:P81)</x:f>
        <x:v>312.9418454140336</x:v>
      </x:c>
    </x:row>
    <x:row r="82">
      <x:c r="A82" t="n">
        <x:f>Trading_Raw!A82</x:f>
        <x:v>78</x:v>
      </x:c>
      <x:c r="B82" s="72" t="n">
        <x:f>Trading_Raw!B82</x:f>
        <x:v>46028.958333333336</x:v>
      </x:c>
      <x:c r="C82" t="str">
        <x:f>Trading_Raw!C82</x:f>
        <x:v>BNBUSDT</x:v>
      </x:c>
      <x:c r="D82" t="str">
        <x:f>Trading_Raw!D82</x:f>
        <x:v>Bybit</x:v>
      </x:c>
      <x:c r="E82" t="str">
        <x:f>Trading_Raw!E82</x:f>
        <x:v>3m</x:v>
      </x:c>
      <x:c r="F82" t="str">
        <x:f>Trading_Raw!F82</x:f>
        <x:v>Short</x:v>
      </x:c>
      <x:c r="G82" t="n">
        <x:f>Trading_Raw!G82</x:f>
        <x:v>564.089879</x:v>
      </x:c>
      <x:c r="H82" t="n">
        <x:f>Trading_Raw!H82</x:f>
        <x:v>565.891631</x:v>
      </x:c>
      <x:c r="I82" t="n">
        <x:f>Trading_Raw!I82</x:f>
        <x:v>571.90706</x:v>
      </x:c>
      <x:c r="J82" t="n">
        <x:f>Trading_Raw!J82</x:f>
        <x:v>548.800773</x:v>
      </x:c>
      <x:c r="K82" t="n">
        <x:f>Trading_Raw!K82</x:f>
        <x:v>100</x:v>
      </x:c>
      <x:c r="L82" t="n">
        <x:f>Trading_Raw!L82</x:f>
        <x:v>1</x:v>
      </x:c>
      <x:c r="M82" t="n">
        <x:f>Trading_Raw!M82</x:f>
        <x:v>0.08</x:v>
      </x:c>
      <x:c r="N82" t="str">
        <x:f>Trading_Raw!N82</x:f>
        <x:v>CVD divergence</x:v>
      </x:c>
      <x:c r="O82" t="str">
        <x:f>Trading_Raw!O82</x:f>
        <x:v>Moved SL</x:v>
      </x:c>
      <x:c r="P82" s="76" t="n">
        <x:f>IF(F82="Long",(H82-G82)/G82*K82*L82,(G82-H82)/G82*K82*L82)-M82</x:f>
        <x:v>-0.39940867352451914</x:v>
      </x:c>
      <x:c r="Q82" s="78" t="n">
        <x:f>P82/K82</x:f>
        <x:v>-0.003994086735245191</x:v>
      </x:c>
      <x:c r="R82" s="78" t="n">
        <x:f>IF(F82="Long",(G82-I82)/G82,(I82-G82)/G82)</x:f>
        <x:v>0.013858041583476106</x:v>
      </x:c>
      <x:c r="S82" s="78" t="n">
        <x:f>IF(F82="Long",(J82-G82)/G82,(G82-J82)/G82)</x:f>
        <x:v>0.027104024676180987</x:v>
      </x:c>
      <x:c r="T82" s="80" t="n">
        <x:f>IFERROR(P82/(K82*L82*R82),0)</x:f>
        <x:v>-0.28821437078148293</x:v>
      </x:c>
      <x:c r="U82" t="str">
        <x:f>IF(P82&gt;0,"Win",IF(P82&lt;0,"Loss","Breakeven"))</x:f>
        <x:v>Loss</x:v>
      </x:c>
      <x:c r="V82" s="76" t="n">
        <x:f>SUM($P$5:P82)</x:f>
        <x:v>312.54243674050906</x:v>
      </x:c>
    </x:row>
    <x:row r="83">
      <x:c r="A83" t="n">
        <x:f>Trading_Raw!A83</x:f>
        <x:v>79</x:v>
      </x:c>
      <x:c r="B83" s="72" t="n">
        <x:f>Trading_Raw!B83</x:f>
        <x:v>46081.166666666664</x:v>
      </x:c>
      <x:c r="C83" t="str">
        <x:f>Trading_Raw!C83</x:f>
        <x:v>FARTCOINUSDT</x:v>
      </x:c>
      <x:c r="D83" t="str">
        <x:f>Trading_Raw!D83</x:f>
        <x:v>Bybit</x:v>
      </x:c>
      <x:c r="E83" t="str">
        <x:f>Trading_Raw!E83</x:f>
        <x:v>5m</x:v>
      </x:c>
      <x:c r="F83" t="str">
        <x:f>Trading_Raw!F83</x:f>
        <x:v>Short</x:v>
      </x:c>
      <x:c r="G83" t="n">
        <x:f>Trading_Raw!G83</x:f>
        <x:v>0.145711</x:v>
      </x:c>
      <x:c r="H83" t="n">
        <x:f>Trading_Raw!H83</x:f>
        <x:v>0.152</x:v>
      </x:c>
      <x:c r="I83" t="n">
        <x:f>Trading_Raw!I83</x:f>
        <x:v>0.14926</x:v>
      </x:c>
      <x:c r="J83" t="n">
        <x:f>Trading_Raw!J83</x:f>
        <x:v>0.13904</x:v>
      </x:c>
      <x:c r="K83" t="n">
        <x:f>Trading_Raw!K83</x:f>
        <x:v>200</x:v>
      </x:c>
      <x:c r="L83" t="n">
        <x:f>Trading_Raw!L83</x:f>
        <x:v>3</x:v>
      </x:c>
      <x:c r="M83" t="n">
        <x:f>Trading_Raw!M83</x:f>
        <x:v>0.48</x:v>
      </x:c>
      <x:c r="N83" t="str">
        <x:f>Trading_Raw!N83</x:f>
        <x:v>CVD divergence</x:v>
      </x:c>
      <x:c r="O83" t="str">
        <x:f>Trading_Raw!O83</x:f>
        <x:v>No HTF confirmation</x:v>
      </x:c>
      <x:c r="P83" s="76" t="n">
        <x:f>IF(F83="Long",(H83-G83)/G83*K83*L83,(G83-H83)/G83*K83*L83)-M83</x:f>
        <x:v>-26.37646629286734</x:v>
      </x:c>
      <x:c r="Q83" s="78" t="n">
        <x:f>P83/K83</x:f>
        <x:v>-0.1318823314643367</x:v>
      </x:c>
      <x:c r="R83" s="78" t="n">
        <x:f>IF(F83="Long",(G83-I83)/G83,(I83-G83)/G83)</x:f>
        <x:v>0.024356431566594124</x:v>
      </x:c>
      <x:c r="S83" s="78" t="n">
        <x:f>IF(F83="Long",(J83-G83)/G83,(G83-J83)/G83)</x:f>
        <x:v>0.0457824048973654</x:v>
      </x:c>
      <x:c r="T83" s="80" t="n">
        <x:f>IFERROR(P83/(K83*L83*R83),0)</x:f>
        <x:v>-1.8048939983093817</x:v>
      </x:c>
      <x:c r="U83" t="str">
        <x:f>IF(P83&gt;0,"Win",IF(P83&lt;0,"Loss","Breakeven"))</x:f>
        <x:v>Loss</x:v>
      </x:c>
      <x:c r="V83" s="76" t="n">
        <x:f>SUM($P$5:P83)</x:f>
        <x:v>286.1659704476417</x:v>
      </x:c>
    </x:row>
    <x:row r="84">
      <x:c r="A84" t="n">
        <x:f>Trading_Raw!A84</x:f>
        <x:v>80</x:v>
      </x:c>
      <x:c r="B84" s="72" t="n">
        <x:f>Trading_Raw!B84</x:f>
        <x:v>46052.083333333336</x:v>
      </x:c>
      <x:c r="C84" t="str">
        <x:f>Trading_Raw!C84</x:f>
        <x:v>BTCUSDT</x:v>
      </x:c>
      <x:c r="D84" t="str">
        <x:f>Trading_Raw!D84</x:f>
        <x:v>Bybit</x:v>
      </x:c>
      <x:c r="E84" t="str">
        <x:f>Trading_Raw!E84</x:f>
        <x:v>15m</x:v>
      </x:c>
      <x:c r="F84" t="str">
        <x:f>Trading_Raw!F84</x:f>
        <x:v>Long</x:v>
      </x:c>
      <x:c r="G84" t="n">
        <x:f>Trading_Raw!G84</x:f>
        <x:v>74877.787405</x:v>
      </x:c>
      <x:c r="H84" t="n">
        <x:f>Trading_Raw!H84</x:f>
        <x:v>72689.712818</x:v>
      </x:c>
      <x:c r="I84" t="n">
        <x:f>Trading_Raw!I84</x:f>
        <x:v>73821.578182</x:v>
      </x:c>
      <x:c r="J84" t="n">
        <x:f>Trading_Raw!J84</x:f>
        <x:v>78358.055659</x:v>
      </x:c>
      <x:c r="K84" t="n">
        <x:f>Trading_Raw!K84</x:f>
        <x:v>500</x:v>
      </x:c>
      <x:c r="L84" t="n">
        <x:f>Trading_Raw!L84</x:f>
        <x:v>2</x:v>
      </x:c>
      <x:c r="M84" t="n">
        <x:f>Trading_Raw!M84</x:f>
        <x:v>0.8</x:v>
      </x:c>
      <x:c r="N84" t="str">
        <x:f>Trading_Raw!N84</x:f>
        <x:v>CVD divergence</x:v>
      </x:c>
      <x:c r="O84" t="str">
        <x:f>Trading_Raw!O84</x:f>
        <x:v>Ignored funding</x:v>
      </x:c>
      <x:c r="P84" s="76" t="n">
        <x:f>IF(F84="Long",(H84-G84)/G84*K84*L84,(G84-H84)/G84*K84*L84)-M84</x:f>
        <x:v>-30.021945023096208</x:v>
      </x:c>
      <x:c r="Q84" s="78" t="n">
        <x:f>P84/K84</x:f>
        <x:v>-0.060043890046192414</x:v>
      </x:c>
      <x:c r="R84" s="78" t="n">
        <x:f>IF(F84="Long",(G84-I84)/G84,(I84-G84)/G84)</x:f>
        <x:v>0.014105775018259544</x:v>
      </x:c>
      <x:c r="S84" s="78" t="n">
        <x:f>IF(F84="Long",(J84-G84)/G84,(G84-J84)/G84)</x:f>
        <x:v>0.046479314822376994</x:v>
      </x:c>
      <x:c r="T84" s="80" t="n">
        <x:f>IFERROR(P84/(K84*L84*R84),0)</x:f>
        <x:v>-2.128344240868269</x:v>
      </x:c>
      <x:c r="U84" t="str">
        <x:f>IF(P84&gt;0,"Win",IF(P84&lt;0,"Loss","Breakeven"))</x:f>
        <x:v>Loss</x:v>
      </x:c>
      <x:c r="V84" s="76" t="n">
        <x:f>SUM($P$5:P84)</x:f>
        <x:v>256.1440254245455</x:v>
      </x:c>
    </x:row>
    <x:row r="85">
      <x:c r="A85" t="n">
        <x:f>Trading_Raw!A85</x:f>
        <x:v>81</x:v>
      </x:c>
      <x:c r="B85" s="72" t="n">
        <x:f>Trading_Raw!B85</x:f>
        <x:v>46131.458333333336</x:v>
      </x:c>
      <x:c r="C85" t="str">
        <x:f>Trading_Raw!C85</x:f>
        <x:v>SOLUSDT</x:v>
      </x:c>
      <x:c r="D85" t="str">
        <x:f>Trading_Raw!D85</x:f>
        <x:v>OKX</x:v>
      </x:c>
      <x:c r="E85" t="str">
        <x:f>Trading_Raw!E85</x:f>
        <x:v>1h</x:v>
      </x:c>
      <x:c r="F85" t="str">
        <x:f>Trading_Raw!F85</x:f>
        <x:v>Long</x:v>
      </x:c>
      <x:c r="G85" t="n">
        <x:f>Trading_Raw!G85</x:f>
        <x:v>129.193664</x:v>
      </x:c>
      <x:c r="H85" t="n">
        <x:f>Trading_Raw!H85</x:f>
        <x:v>124.377251</x:v>
      </x:c>
      <x:c r="I85" t="n">
        <x:f>Trading_Raw!I85</x:f>
        <x:v>126.906513</x:v>
      </x:c>
      <x:c r="J85" t="n">
        <x:f>Trading_Raw!J85</x:f>
        <x:v>134.222921</x:v>
      </x:c>
      <x:c r="K85" t="n">
        <x:f>Trading_Raw!K85</x:f>
        <x:v>100</x:v>
      </x:c>
      <x:c r="L85" t="n">
        <x:f>Trading_Raw!L85</x:f>
        <x:v>2</x:v>
      </x:c>
      <x:c r="M85" t="n">
        <x:f>Trading_Raw!M85</x:f>
        <x:v>0.16</x:v>
      </x:c>
      <x:c r="N85" t="str">
        <x:f>Trading_Raw!N85</x:f>
        <x:v>VWAP reclaim</x:v>
      </x:c>
      <x:c r="O85" t="str">
        <x:f>Trading_Raw!O85</x:f>
        <x:v>None</x:v>
      </x:c>
      <x:c r="P85" s="76" t="n">
        <x:f>IF(F85="Long",(H85-G85)/G85*K85*L85,(G85-H85)/G85*K85*L85)-M85</x:f>
        <x:v>-7.616113327662897</x:v>
      </x:c>
      <x:c r="Q85" s="78" t="n">
        <x:f>P85/K85</x:f>
        <x:v>-0.07616113327662898</x:v>
      </x:c>
      <x:c r="R85" s="78" t="n">
        <x:f>IF(F85="Long",(G85-I85)/G85,(I85-G85)/G85)</x:f>
        <x:v>0.017703275293748218</x:v>
      </x:c>
      <x:c r="S85" s="78" t="n">
        <x:f>IF(F85="Long",(J85-G85)/G85,(G85-J85)/G85)</x:f>
        <x:v>0.038928046811955115</x:v>
      </x:c>
      <x:c r="T85" s="80" t="n">
        <x:f>IFERROR(P85/(K85*L85*R85),0)</x:f>
        <x:v>-2.1510464027954397</x:v>
      </x:c>
      <x:c r="U85" t="str">
        <x:f>IF(P85&gt;0,"Win",IF(P85&lt;0,"Loss","Breakeven"))</x:f>
        <x:v>Loss</x:v>
      </x:c>
      <x:c r="V85" s="76" t="n">
        <x:f>SUM($P$5:P85)</x:f>
        <x:v>248.52791209688257</x:v>
      </x:c>
    </x:row>
    <x:row r="86">
      <x:c r="A86" t="n">
        <x:f>Trading_Raw!A86</x:f>
        <x:v>82</x:v>
      </x:c>
      <x:c r="B86" s="72" t="n">
        <x:f>Trading_Raw!B86</x:f>
        <x:v>46168.541666666664</x:v>
      </x:c>
      <x:c r="C86" t="str">
        <x:f>Trading_Raw!C86</x:f>
        <x:v>BTCUSDT</x:v>
      </x:c>
      <x:c r="D86" t="str">
        <x:f>Trading_Raw!D86</x:f>
        <x:v>Bybit</x:v>
      </x:c>
      <x:c r="E86" t="str">
        <x:f>Trading_Raw!E86</x:f>
        <x:v>3m</x:v>
      </x:c>
      <x:c r="F86" t="str">
        <x:f>Trading_Raw!F86</x:f>
        <x:v>Long</x:v>
      </x:c>
      <x:c r="G86" t="n">
        <x:f>Trading_Raw!G86</x:f>
        <x:v>60846.054211</x:v>
      </x:c>
      <x:c r="H86" t="n">
        <x:f>Trading_Raw!H86</x:f>
        <x:v>60528.312196</x:v>
      </x:c>
      <x:c r="I86" t="n">
        <x:f>Trading_Raw!I86</x:f>
        <x:v>59648.058985</x:v>
      </x:c>
      <x:c r="J86" t="n">
        <x:f>Trading_Raw!J86</x:f>
        <x:v>62303.907093</x:v>
      </x:c>
      <x:c r="K86" t="n">
        <x:f>Trading_Raw!K86</x:f>
        <x:v>300</x:v>
      </x:c>
      <x:c r="L86" t="n">
        <x:f>Trading_Raw!L86</x:f>
        <x:v>5</x:v>
      </x:c>
      <x:c r="M86" t="n">
        <x:f>Trading_Raw!M86</x:f>
        <x:v>1.2</x:v>
      </x:c>
      <x:c r="N86" t="str">
        <x:f>Trading_Raw!N86</x:f>
        <x:v>VWAP reclaim</x:v>
      </x:c>
      <x:c r="O86" t="str">
        <x:f>Trading_Raw!O86</x:f>
        <x:v>Moved SL</x:v>
      </x:c>
      <x:c r="P86" s="76" t="n">
        <x:f>IF(F86="Long",(H86-G86)/G86*K86*L86,(G86-H86)/G86*K86*L86)-M86</x:f>
        <x:v>-9.033096635111649</x:v>
      </x:c>
      <x:c r="Q86" s="78" t="n">
        <x:f>P86/K86</x:f>
        <x:v>-0.030110322117038832</x:v>
      </x:c>
      <x:c r="R86" s="78" t="n">
        <x:f>IF(F86="Long",(G86-I86)/G86,(I86-G86)/G86)</x:f>
        <x:v>0.01968895504457248</x:v>
      </x:c>
      <x:c r="S86" s="78" t="n">
        <x:f>IF(F86="Long",(J86-G86)/G86,(G86-J86)/G86)</x:f>
        <x:v>0.02395969469021777</x:v>
      </x:c>
      <x:c r="T86" s="80" t="n">
        <x:f>IFERROR(P86/(K86*L86*R86),0)</x:f>
        <x:v>-0.3058600321741213</x:v>
      </x:c>
      <x:c r="U86" t="str">
        <x:f>IF(P86&gt;0,"Win",IF(P86&lt;0,"Loss","Breakeven"))</x:f>
        <x:v>Loss</x:v>
      </x:c>
      <x:c r="V86" s="76" t="n">
        <x:f>SUM($P$5:P86)</x:f>
        <x:v>239.4948154617709</x:v>
      </x:c>
    </x:row>
    <x:row r="87">
      <x:c r="A87" t="n">
        <x:f>Trading_Raw!A87</x:f>
        <x:v>83</x:v>
      </x:c>
      <x:c r="B87" s="72" t="n">
        <x:f>Trading_Raw!B87</x:f>
        <x:v>46149.625</x:v>
      </x:c>
      <x:c r="C87" t="str">
        <x:f>Trading_Raw!C87</x:f>
        <x:v>XRPUSDT</x:v>
      </x:c>
      <x:c r="D87" t="str">
        <x:f>Trading_Raw!D87</x:f>
        <x:v>Binance</x:v>
      </x:c>
      <x:c r="E87" t="str">
        <x:f>Trading_Raw!E87</x:f>
        <x:v>3m</x:v>
      </x:c>
      <x:c r="F87" t="str">
        <x:f>Trading_Raw!F87</x:f>
        <x:v>Long</x:v>
      </x:c>
      <x:c r="G87" t="n">
        <x:f>Trading_Raw!G87</x:f>
        <x:v>0.514373</x:v>
      </x:c>
      <x:c r="H87" t="n">
        <x:f>Trading_Raw!H87</x:f>
        <x:v>0.525517</x:v>
      </x:c>
      <x:c r="I87" t="n">
        <x:f>Trading_Raw!I87</x:f>
        <x:v>0.503738</x:v>
      </x:c>
      <x:c r="J87" t="n">
        <x:f>Trading_Raw!J87</x:f>
        <x:v>0.534474</x:v>
      </x:c>
      <x:c r="K87" t="n">
        <x:f>Trading_Raw!K87</x:f>
        <x:v>250</x:v>
      </x:c>
      <x:c r="L87" t="n">
        <x:f>Trading_Raw!L87</x:f>
        <x:v>5</x:v>
      </x:c>
      <x:c r="M87" t="n">
        <x:f>Trading_Raw!M87</x:f>
        <x:v>1</x:v>
      </x:c>
      <x:c r="N87" t="str">
        <x:f>Trading_Raw!N87</x:f>
        <x:v>OB retest</x:v>
      </x:c>
      <x:c r="O87" t="str">
        <x:f>Trading_Raw!O87</x:f>
        <x:v>No HTF confirmation</x:v>
      </x:c>
      <x:c r="P87" s="76" t="n">
        <x:f>IF(F87="Long",(H87-G87)/G87*K87*L87,(G87-H87)/G87*K87*L87)-M87</x:f>
        <x:v>26.081514776242244</x:v>
      </x:c>
      <x:c r="Q87" s="78" t="n">
        <x:f>P87/K87</x:f>
        <x:v>0.10432605910496898</x:v>
      </x:c>
      <x:c r="R87" s="78" t="n">
        <x:f>IF(F87="Long",(G87-I87)/G87,(I87-G87)/G87)</x:f>
        <x:v>0.020675657548121597</x:v>
      </x:c>
      <x:c r="S87" s="78" t="n">
        <x:f>IF(F87="Long",(J87-G87)/G87,(G87-J87)/G87)</x:f>
        <x:v>0.03907864526326234</x:v>
      </x:c>
      <x:c r="T87" s="80" t="n">
        <x:f>IFERROR(P87/(K87*L87*R87),0)</x:f>
        <x:v>1.0091679924776766</x:v>
      </x:c>
      <x:c r="U87" t="str">
        <x:f>IF(P87&gt;0,"Win",IF(P87&lt;0,"Loss","Breakeven"))</x:f>
        <x:v>Win</x:v>
      </x:c>
      <x:c r="V87" s="76" t="n">
        <x:f>SUM($P$5:P87)</x:f>
        <x:v>265.57633023801316</x:v>
      </x:c>
    </x:row>
    <x:row r="88">
      <x:c r="A88" t="n">
        <x:f>Trading_Raw!A88</x:f>
        <x:v>84</x:v>
      </x:c>
      <x:c r="B88" s="72" t="n">
        <x:f>Trading_Raw!B88</x:f>
        <x:v>46169.25</x:v>
      </x:c>
      <x:c r="C88" t="str">
        <x:f>Trading_Raw!C88</x:f>
        <x:v>BTCUSDT</x:v>
      </x:c>
      <x:c r="D88" t="str">
        <x:f>Trading_Raw!D88</x:f>
        <x:v>Bybit</x:v>
      </x:c>
      <x:c r="E88" t="str">
        <x:f>Trading_Raw!E88</x:f>
        <x:v>1h</x:v>
      </x:c>
      <x:c r="F88" t="str">
        <x:f>Trading_Raw!F88</x:f>
        <x:v>Short</x:v>
      </x:c>
      <x:c r="G88" t="n">
        <x:f>Trading_Raw!G88</x:f>
        <x:v>61689.400098</x:v>
      </x:c>
      <x:c r="H88" t="n">
        <x:f>Trading_Raw!H88</x:f>
        <x:v>62828.90493</x:v>
      </x:c>
      <x:c r="I88" t="n">
        <x:f>Trading_Raw!I88</x:f>
        <x:v>63019.627799</x:v>
      </x:c>
      <x:c r="J88" t="n">
        <x:f>Trading_Raw!J88</x:f>
        <x:v>59853.116971</x:v>
      </x:c>
      <x:c r="K88" t="n">
        <x:f>Trading_Raw!K88</x:f>
        <x:v>200</x:v>
      </x:c>
      <x:c r="L88" t="n">
        <x:f>Trading_Raw!L88</x:f>
        <x:v>2</x:v>
      </x:c>
      <x:c r="M88" t="n">
        <x:f>Trading_Raw!M88</x:f>
        <x:v>0.32</x:v>
      </x:c>
      <x:c r="N88" t="str">
        <x:f>Trading_Raw!N88</x:f>
        <x:v>CVD divergence</x:v>
      </x:c>
      <x:c r="O88" t="str">
        <x:f>Trading_Raw!O88</x:f>
        <x:v>Moved SL</x:v>
      </x:c>
      <x:c r="P88" s="76" t="n">
        <x:f>IF(F88="Long",(H88-G88)/G88*K88*L88,(G88-H88)/G88*K88*L88)-M88</x:f>
        <x:v>-7.708658863206822</x:v>
      </x:c>
      <x:c r="Q88" s="78" t="n">
        <x:f>P88/K88</x:f>
        <x:v>-0.038543294316034114</x:v>
      </x:c>
      <x:c r="R88" s="78" t="n">
        <x:f>IF(F88="Long",(G88-I88)/G88,(I88-G88)/G88)</x:f>
        <x:v>0.0215633106965994</x:v>
      </x:c>
      <x:c r="S88" s="78" t="n">
        <x:f>IF(F88="Long",(J88-G88)/G88,(G88-J88)/G88)</x:f>
        <x:v>0.02976659076085793</x:v>
      </x:c>
      <x:c r="T88" s="80" t="n">
        <x:f>IFERROR(P88/(K88*L88*R88),0)</x:f>
        <x:v>-0.8937239475502365</x:v>
      </x:c>
      <x:c r="U88" t="str">
        <x:f>IF(P88&gt;0,"Win",IF(P88&lt;0,"Loss","Breakeven"))</x:f>
        <x:v>Loss</x:v>
      </x:c>
      <x:c r="V88" s="76" t="n">
        <x:f>SUM($P$5:P88)</x:f>
        <x:v>257.8676713748063</x:v>
      </x:c>
    </x:row>
    <x:row r="89">
      <x:c r="A89" t="n">
        <x:f>Trading_Raw!A89</x:f>
        <x:v>85</x:v>
      </x:c>
      <x:c r="B89" s="72" t="n">
        <x:f>Trading_Raw!B89</x:f>
        <x:v>46054.833333333336</x:v>
      </x:c>
      <x:c r="C89" t="str">
        <x:f>Trading_Raw!C89</x:f>
        <x:v>SOLUSDT</x:v>
      </x:c>
      <x:c r="D89" t="str">
        <x:f>Trading_Raw!D89</x:f>
        <x:v>Binance</x:v>
      </x:c>
      <x:c r="E89" t="str">
        <x:f>Trading_Raw!E89</x:f>
        <x:v>3m</x:v>
      </x:c>
      <x:c r="F89" t="str">
        <x:f>Trading_Raw!F89</x:f>
        <x:v>Long</x:v>
      </x:c>
      <x:c r="G89" t="n">
        <x:f>Trading_Raw!G89</x:f>
        <x:v>156.088176</x:v>
      </x:c>
      <x:c r="H89" t="n">
        <x:f>Trading_Raw!H89</x:f>
        <x:v>153.349365</x:v>
      </x:c>
      <x:c r="I89" t="n">
        <x:f>Trading_Raw!I89</x:f>
        <x:v>154.755062</x:v>
      </x:c>
      <x:c r="J89" t="n">
        <x:f>Trading_Raw!J89</x:f>
        <x:v>163.963608</x:v>
      </x:c>
      <x:c r="K89" t="n">
        <x:f>Trading_Raw!K89</x:f>
        <x:v>300</x:v>
      </x:c>
      <x:c r="L89" t="n">
        <x:f>Trading_Raw!L89</x:f>
        <x:v>1</x:v>
      </x:c>
      <x:c r="M89" t="n">
        <x:f>Trading_Raw!M89</x:f>
        <x:v>0.24</x:v>
      </x:c>
      <x:c r="N89" t="str">
        <x:f>Trading_Raw!N89</x:f>
        <x:v>CVD divergence</x:v>
      </x:c>
      <x:c r="O89" t="str">
        <x:f>Trading_Raw!O89</x:f>
        <x:v>Oversized</x:v>
      </x:c>
      <x:c r="P89" s="76" t="n">
        <x:f>IF(F89="Long",(H89-G89)/G89*K89*L89,(G89-H89)/G89*K89*L89)-M89</x:f>
        <x:v>-5.5039688735936</x:v>
      </x:c>
      <x:c r="Q89" s="78" t="n">
        <x:f>P89/K89</x:f>
        <x:v>-0.018346562911978666</x:v>
      </x:c>
      <x:c r="R89" s="78" t="n">
        <x:f>IF(F89="Long",(G89-I89)/G89,(I89-G89)/G89)</x:f>
        <x:v>0.008540775055248225</x:v>
      </x:c>
      <x:c r="S89" s="78" t="n">
        <x:f>IF(F89="Long",(J89-G89)/G89,(G89-J89)/G89)</x:f>
        <x:v>0.05045501973192376</x:v>
      </x:c>
      <x:c r="T89" s="80" t="n">
        <x:f>IFERROR(P89/(K89*L89*R89),0)</x:f>
        <x:v>-2.1481145204386194</x:v>
      </x:c>
      <x:c r="U89" t="str">
        <x:f>IF(P89&gt;0,"Win",IF(P89&lt;0,"Loss","Breakeven"))</x:f>
        <x:v>Loss</x:v>
      </x:c>
      <x:c r="V89" s="76" t="n">
        <x:f>SUM($P$5:P89)</x:f>
        <x:v>252.3637025012127</x:v>
      </x:c>
    </x:row>
    <x:row r="90">
      <x:c r="A90" t="n">
        <x:f>Trading_Raw!A90</x:f>
        <x:v>86</x:v>
      </x:c>
      <x:c r="B90" s="72" t="n">
        <x:f>Trading_Raw!B90</x:f>
        <x:v>46113.375</x:v>
      </x:c>
      <x:c r="C90" t="str">
        <x:f>Trading_Raw!C90</x:f>
        <x:v>FARTCOINUSDT</x:v>
      </x:c>
      <x:c r="D90" t="str">
        <x:f>Trading_Raw!D90</x:f>
        <x:v>Bybit</x:v>
      </x:c>
      <x:c r="E90" t="str">
        <x:f>Trading_Raw!E90</x:f>
        <x:v>1h</x:v>
      </x:c>
      <x:c r="F90" t="str">
        <x:f>Trading_Raw!F90</x:f>
        <x:v>Short</x:v>
      </x:c>
      <x:c r="G90" t="n">
        <x:f>Trading_Raw!G90</x:f>
        <x:v>0.159641</x:v>
      </x:c>
      <x:c r="H90" t="n">
        <x:f>Trading_Raw!H90</x:f>
        <x:v>0.161876</x:v>
      </x:c>
      <x:c r="I90" t="n">
        <x:f>Trading_Raw!I90</x:f>
        <x:v>0.162724</x:v>
      </x:c>
      <x:c r="J90" t="n">
        <x:f>Trading_Raw!J90</x:f>
        <x:v>0.152172</x:v>
      </x:c>
      <x:c r="K90" t="n">
        <x:f>Trading_Raw!K90</x:f>
        <x:v>150</x:v>
      </x:c>
      <x:c r="L90" t="n">
        <x:f>Trading_Raw!L90</x:f>
        <x:v>5</x:v>
      </x:c>
      <x:c r="M90" t="n">
        <x:f>Trading_Raw!M90</x:f>
        <x:v>0.6</x:v>
      </x:c>
      <x:c r="N90" t="str">
        <x:f>Trading_Raw!N90</x:f>
        <x:v>OB retest</x:v>
      </x:c>
      <x:c r="O90" t="str">
        <x:f>Trading_Raw!O90</x:f>
        <x:v>No HTF confirmation</x:v>
      </x:c>
      <x:c r="P90" s="76" t="n">
        <x:f>IF(F90="Long",(H90-G90)/G90*K90*L90,(G90-H90)/G90*K90*L90)-M90</x:f>
        <x:v>-11.100122149071916</x:v>
      </x:c>
      <x:c r="Q90" s="78" t="n">
        <x:f>P90/K90</x:f>
        <x:v>-0.07400081432714611</x:v>
      </x:c>
      <x:c r="R90" s="78" t="n">
        <x:f>IF(F90="Long",(G90-I90)/G90,(I90-G90)/G90)</x:f>
        <x:v>0.019312081482827106</x:v>
      </x:c>
      <x:c r="S90" s="78" t="n">
        <x:f>IF(F90="Long",(J90-G90)/G90,(G90-J90)/G90)</x:f>
        <x:v>0.04678622659592462</x:v>
      </x:c>
      <x:c r="T90" s="80" t="n">
        <x:f>IFERROR(P90/(K90*L90*R90),0)</x:f>
        <x:v>-0.766368083035999</x:v>
      </x:c>
      <x:c r="U90" t="str">
        <x:f>IF(P90&gt;0,"Win",IF(P90&lt;0,"Loss","Breakeven"))</x:f>
        <x:v>Loss</x:v>
      </x:c>
      <x:c r="V90" s="76" t="n">
        <x:f>SUM($P$5:P90)</x:f>
        <x:v>241.2635803521408</x:v>
      </x:c>
    </x:row>
    <x:row r="91">
      <x:c r="A91" t="n">
        <x:f>Trading_Raw!A91</x:f>
        <x:v>87</x:v>
      </x:c>
      <x:c r="B91" s="72" t="n">
        <x:f>Trading_Raw!B91</x:f>
        <x:v>46089.791666666664</x:v>
      </x:c>
      <x:c r="C91" t="str">
        <x:f>Trading_Raw!C91</x:f>
        <x:v>ETHUSDT</x:v>
      </x:c>
      <x:c r="D91" t="str">
        <x:f>Trading_Raw!D91</x:f>
        <x:v>Bybit</x:v>
      </x:c>
      <x:c r="E91" t="str">
        <x:f>Trading_Raw!E91</x:f>
        <x:v>5m</x:v>
      </x:c>
      <x:c r="F91" t="str">
        <x:f>Trading_Raw!F91</x:f>
        <x:v>Short</x:v>
      </x:c>
      <x:c r="G91" t="n">
        <x:f>Trading_Raw!G91</x:f>
        <x:v>3913.344556</x:v>
      </x:c>
      <x:c r="H91" t="n">
        <x:f>Trading_Raw!H91</x:f>
        <x:v>4049.596076</x:v>
      </x:c>
      <x:c r="I91" t="n">
        <x:f>Trading_Raw!I91</x:f>
        <x:v>3985.932071</x:v>
      </x:c>
      <x:c r="J91" t="n">
        <x:f>Trading_Raw!J91</x:f>
        <x:v>3787.575538</x:v>
      </x:c>
      <x:c r="K91" t="n">
        <x:f>Trading_Raw!K91</x:f>
        <x:v>750</x:v>
      </x:c>
      <x:c r="L91" t="n">
        <x:f>Trading_Raw!L91</x:f>
        <x:v>5</x:v>
      </x:c>
      <x:c r="M91" t="n">
        <x:f>Trading_Raw!M91</x:f>
        <x:v>3</x:v>
      </x:c>
      <x:c r="N91" t="str">
        <x:f>Trading_Raw!N91</x:f>
        <x:v>VWAP reclaim</x:v>
      </x:c>
      <x:c r="O91" t="str">
        <x:f>Trading_Raw!O91</x:f>
        <x:v>Oversized</x:v>
      </x:c>
      <x:c r="P91" s="76" t="n">
        <x:f>IF(F91="Long",(H91-G91)/G91*K91*L91,(G91-H91)/G91*K91*L91)-M91</x:f>
        <x:v>-133.56432744124544</x:v>
      </x:c>
      <x:c r="Q91" s="78" t="n">
        <x:f>P91/K91</x:f>
        <x:v>-0.17808576992166059</x:v>
      </x:c>
      <x:c r="R91" s="78" t="n">
        <x:f>IF(F91="Long",(G91-I91)/G91,(I91-G91)/G91)</x:f>
        <x:v>0.018548715545302002</x:v>
      </x:c>
      <x:c r="S91" s="78" t="n">
        <x:f>IF(F91="Long",(J91-G91)/G91,(G91-J91)/G91)</x:f>
        <x:v>0.032138498463461125</x:v>
      </x:c>
      <x:c r="T91" s="80" t="n">
        <x:f>IFERROR(P91/(K91*L91*R91),0)</x:f>
        <x:v>-1.9201951691664811</x:v>
      </x:c>
      <x:c r="U91" t="str">
        <x:f>IF(P91&gt;0,"Win",IF(P91&lt;0,"Loss","Breakeven"))</x:f>
        <x:v>Loss</x:v>
      </x:c>
      <x:c r="V91" s="76" t="n">
        <x:f>SUM($P$5:P91)</x:f>
        <x:v>107.69925291089535</x:v>
      </x:c>
    </x:row>
    <x:row r="92">
      <x:c r="A92" t="n">
        <x:f>Trading_Raw!A92</x:f>
        <x:v>88</x:v>
      </x:c>
      <x:c r="B92" s="72" t="n">
        <x:f>Trading_Raw!B92</x:f>
        <x:v>46133</x:v>
      </x:c>
      <x:c r="C92" t="str">
        <x:f>Trading_Raw!C92</x:f>
        <x:v>ETHUSDT</x:v>
      </x:c>
      <x:c r="D92" t="str">
        <x:f>Trading_Raw!D92</x:f>
        <x:v>OKX</x:v>
      </x:c>
      <x:c r="E92" t="str">
        <x:f>Trading_Raw!E92</x:f>
        <x:v>1h</x:v>
      </x:c>
      <x:c r="F92" t="str">
        <x:f>Trading_Raw!F92</x:f>
        <x:v>Short</x:v>
      </x:c>
      <x:c r="G92" t="n">
        <x:f>Trading_Raw!G92</x:f>
        <x:v>3422.159814</x:v>
      </x:c>
      <x:c r="H92" t="n">
        <x:f>Trading_Raw!H92</x:f>
        <x:v>3309.13714</x:v>
      </x:c>
      <x:c r="I92" t="n">
        <x:f>Trading_Raw!I92</x:f>
        <x:v>3503.80629</x:v>
      </x:c>
      <x:c r="J92" t="n">
        <x:f>Trading_Raw!J92</x:f>
        <x:v>3309.97192</x:v>
      </x:c>
      <x:c r="K92" t="n">
        <x:f>Trading_Raw!K92</x:f>
        <x:v>250</x:v>
      </x:c>
      <x:c r="L92" t="n">
        <x:f>Trading_Raw!L92</x:f>
        <x:v>2</x:v>
      </x:c>
      <x:c r="M92" t="n">
        <x:f>Trading_Raw!M92</x:f>
        <x:v>0.4</x:v>
      </x:c>
      <x:c r="N92" t="str">
        <x:f>Trading_Raw!N92</x:f>
        <x:v>Range deviation</x:v>
      </x:c>
      <x:c r="O92" t="str">
        <x:f>Trading_Raw!O92</x:f>
        <x:v>Late entry</x:v>
      </x:c>
      <x:c r="P92" s="76" t="n">
        <x:f>IF(F92="Long",(H92-G92)/G92*K92*L92,(G92-H92)/G92*K92*L92)-M92</x:f>
        <x:v>16.113354159794987</x:v>
      </x:c>
      <x:c r="Q92" s="78" t="n">
        <x:f>P92/K92</x:f>
        <x:v>0.06445341663917994</x:v>
      </x:c>
      <x:c r="R92" s="78" t="n">
        <x:f>IF(F92="Long",(G92-I92)/G92,(I92-G92)/G92)</x:f>
        <x:v>0.02385817157515131</x:v>
      </x:c>
      <x:c r="S92" s="78" t="n">
        <x:f>IF(F92="Long",(J92-G92)/G92,(G92-J92)/G92)</x:f>
        <x:v>0.032782774650395134</x:v>
      </x:c>
      <x:c r="T92" s="80" t="n">
        <x:f>IFERROR(P92/(K92*L92*R92),0)</x:f>
        <x:v>1.3507618644655333</x:v>
      </x:c>
      <x:c r="U92" t="str">
        <x:f>IF(P92&gt;0,"Win",IF(P92&lt;0,"Loss","Breakeven"))</x:f>
        <x:v>Win</x:v>
      </x:c>
      <x:c r="V92" s="76" t="n">
        <x:f>SUM($P$5:P92)</x:f>
        <x:v>123.81260707069035</x:v>
      </x:c>
    </x:row>
    <x:row r="93">
      <x:c r="A93" t="n">
        <x:f>Trading_Raw!A93</x:f>
        <x:v>89</x:v>
      </x:c>
      <x:c r="B93" s="72" t="n">
        <x:f>Trading_Raw!B93</x:f>
        <x:v>46160.458333333336</x:v>
      </x:c>
      <x:c r="C93" t="str">
        <x:f>Trading_Raw!C93</x:f>
        <x:v>BNBUSDT</x:v>
      </x:c>
      <x:c r="D93" t="str">
        <x:f>Trading_Raw!D93</x:f>
        <x:v>OKX</x:v>
      </x:c>
      <x:c r="E93" t="str">
        <x:f>Trading_Raw!E93</x:f>
        <x:v>3m</x:v>
      </x:c>
      <x:c r="F93" t="str">
        <x:f>Trading_Raw!F93</x:f>
        <x:v>Long</x:v>
      </x:c>
      <x:c r="G93" t="n">
        <x:f>Trading_Raw!G93</x:f>
        <x:v>577.546031</x:v>
      </x:c>
      <x:c r="H93" t="n">
        <x:f>Trading_Raw!H93</x:f>
        <x:v>581.065219</x:v>
      </x:c>
      <x:c r="I93" t="n">
        <x:f>Trading_Raw!I93</x:f>
        <x:v>563.929129</x:v>
      </x:c>
      <x:c r="J93" t="n">
        <x:f>Trading_Raw!J93</x:f>
        <x:v>602.379422</x:v>
      </x:c>
      <x:c r="K93" t="n">
        <x:f>Trading_Raw!K93</x:f>
        <x:v>1000</x:v>
      </x:c>
      <x:c r="L93" t="n">
        <x:f>Trading_Raw!L93</x:f>
        <x:v>1</x:v>
      </x:c>
      <x:c r="M93" t="n">
        <x:f>Trading_Raw!M93</x:f>
        <x:v>0.8</x:v>
      </x:c>
      <x:c r="N93" t="str">
        <x:f>Trading_Raw!N93</x:f>
        <x:v>CVD divergence</x:v>
      </x:c>
      <x:c r="O93" t="str">
        <x:f>Trading_Raw!O93</x:f>
        <x:v>No HTF confirmation</x:v>
      </x:c>
      <x:c r="P93" s="76" t="n">
        <x:f>IF(F93="Long",(H93-G93)/G93*K93*L93,(G93-H93)/G93*K93*L93)-M93</x:f>
        <x:v>5.293346350085099</x:v>
      </x:c>
      <x:c r="Q93" s="78" t="n">
        <x:f>P93/K93</x:f>
        <x:v>0.005293346350085099</x:v>
      </x:c>
      <x:c r="R93" s="78" t="n">
        <x:f>IF(F93="Long",(G93-I93)/G93,(I93-G93)/G93)</x:f>
        <x:v>0.02357717180814629</x:v>
      </x:c>
      <x:c r="S93" s="78" t="n">
        <x:f>IF(F93="Long",(J93-G93)/G93,(G93-J93)/G93)</x:f>
        <x:v>0.04299811559089393</x:v>
      </x:c>
      <x:c r="T93" s="80" t="n">
        <x:f>IFERROR(P93/(K93*L93*R93),0)</x:f>
        <x:v>0.22451150600922218</x:v>
      </x:c>
      <x:c r="U93" t="str">
        <x:f>IF(P93&gt;0,"Win",IF(P93&lt;0,"Loss","Breakeven"))</x:f>
        <x:v>Win</x:v>
      </x:c>
      <x:c r="V93" s="76" t="n">
        <x:f>SUM($P$5:P93)</x:f>
        <x:v>129.10595342077545</x:v>
      </x:c>
    </x:row>
    <x:row r="94">
      <x:c r="A94" t="n">
        <x:f>Trading_Raw!A94</x:f>
        <x:v>90</x:v>
      </x:c>
      <x:c r="B94" s="72" t="n">
        <x:f>Trading_Raw!B94</x:f>
        <x:v>46162.5</x:v>
      </x:c>
      <x:c r="C94" t="str">
        <x:f>Trading_Raw!C94</x:f>
        <x:v>BTCUSDT</x:v>
      </x:c>
      <x:c r="D94" t="str">
        <x:f>Trading_Raw!D94</x:f>
        <x:v>OKX</x:v>
      </x:c>
      <x:c r="E94" t="str">
        <x:f>Trading_Raw!E94</x:f>
        <x:v>15m</x:v>
      </x:c>
      <x:c r="F94" t="str">
        <x:f>Trading_Raw!F94</x:f>
        <x:v>Long</x:v>
      </x:c>
      <x:c r="G94" t="n">
        <x:f>Trading_Raw!G94</x:f>
        <x:v>63852.530174</x:v>
      </x:c>
      <x:c r="H94" t="n">
        <x:f>Trading_Raw!H94</x:f>
        <x:v>64183.54486</x:v>
      </x:c>
      <x:c r="I94" t="n">
        <x:f>Trading_Raw!I94</x:f>
        <x:v>62722.008591</x:v>
      </x:c>
      <x:c r="J94" t="n">
        <x:f>Trading_Raw!J94</x:f>
        <x:v>66131.204071</x:v>
      </x:c>
      <x:c r="K94" t="n">
        <x:f>Trading_Raw!K94</x:f>
        <x:v>750</x:v>
      </x:c>
      <x:c r="L94" t="n">
        <x:f>Trading_Raw!L94</x:f>
        <x:v>5</x:v>
      </x:c>
      <x:c r="M94" t="n">
        <x:f>Trading_Raw!M94</x:f>
        <x:v>3</x:v>
      </x:c>
      <x:c r="N94" t="str">
        <x:f>Trading_Raw!N94</x:f>
        <x:v>VWAP reclaim</x:v>
      </x:c>
      <x:c r="O94" t="str">
        <x:f>Trading_Raw!O94</x:f>
        <x:v>No HTF confirmation</x:v>
      </x:c>
      <x:c r="P94" s="76" t="n">
        <x:f>IF(F94="Long",(H94-G94)/G94*K94*L94,(G94-H94)/G94*K94*L94)-M94</x:f>
        <x:v>16.44018614638161</x:v>
      </x:c>
      <x:c r="Q94" s="78" t="n">
        <x:f>P94/K94</x:f>
        <x:v>0.02192024819517548</x:v>
      </x:c>
      <x:c r="R94" s="78" t="n">
        <x:f>IF(F94="Long",(G94-I94)/G94,(I94-G94)/G94)</x:f>
        <x:v>0.017705196331598724</x:v>
      </x:c>
      <x:c r="S94" s="78" t="n">
        <x:f>IF(F94="Long",(J94-G94)/G94,(G94-J94)/G94)</x:f>
        <x:v>0.035686509066916346</x:v>
      </x:c>
      <x:c r="T94" s="80" t="n">
        <x:f>IFERROR(P94/(K94*L94*R94),0)</x:f>
        <x:v>0.24761372632794917</x:v>
      </x:c>
      <x:c r="U94" t="str">
        <x:f>IF(P94&gt;0,"Win",IF(P94&lt;0,"Loss","Breakeven"))</x:f>
        <x:v>Win</x:v>
      </x:c>
      <x:c r="V94" s="76" t="n">
        <x:f>SUM($P$5:P94)</x:f>
        <x:v>145.54613956715707</x:v>
      </x:c>
    </x:row>
    <x:row r="95">
      <x:c r="A95" t="n">
        <x:f>Trading_Raw!A95</x:f>
        <x:v>91</x:v>
      </x:c>
      <x:c r="B95" s="72" t="n">
        <x:f>Trading_Raw!B95</x:f>
        <x:v>46108.083333333336</x:v>
      </x:c>
      <x:c r="C95" t="str">
        <x:f>Trading_Raw!C95</x:f>
        <x:v>SOLUSDT</x:v>
      </x:c>
      <x:c r="D95" t="str">
        <x:f>Trading_Raw!D95</x:f>
        <x:v>Bybit</x:v>
      </x:c>
      <x:c r="E95" t="str">
        <x:f>Trading_Raw!E95</x:f>
        <x:v>15m</x:v>
      </x:c>
      <x:c r="F95" t="str">
        <x:f>Trading_Raw!F95</x:f>
        <x:v>Short</x:v>
      </x:c>
      <x:c r="G95" t="n">
        <x:f>Trading_Raw!G95</x:f>
        <x:v>141.721847</x:v>
      </x:c>
      <x:c r="H95" t="n">
        <x:f>Trading_Raw!H95</x:f>
        <x:v>140.445325</x:v>
      </x:c>
      <x:c r="I95" t="n">
        <x:f>Trading_Raw!I95</x:f>
        <x:v>144.355345</x:v>
      </x:c>
      <x:c r="J95" t="n">
        <x:f>Trading_Raw!J95</x:f>
        <x:v>135.198603</x:v>
      </x:c>
      <x:c r="K95" t="n">
        <x:f>Trading_Raw!K95</x:f>
        <x:v>100</x:v>
      </x:c>
      <x:c r="L95" t="n">
        <x:f>Trading_Raw!L95</x:f>
        <x:v>2</x:v>
      </x:c>
      <x:c r="M95" t="n">
        <x:f>Trading_Raw!M95</x:f>
        <x:v>0.16</x:v>
      </x:c>
      <x:c r="N95" t="str">
        <x:f>Trading_Raw!N95</x:f>
        <x:v>Range deviation</x:v>
      </x:c>
      <x:c r="O95" t="str">
        <x:f>Trading_Raw!O95</x:f>
        <x:v>Late entry</x:v>
      </x:c>
      <x:c r="P95" s="76" t="n">
        <x:f>IF(F95="Long",(H95-G95)/G95*K95*L95,(G95-H95)/G95*K95*L95)-M95</x:f>
        <x:v>1.641447027429723</x:v>
      </x:c>
      <x:c r="Q95" s="78" t="n">
        <x:f>P95/K95</x:f>
        <x:v>0.01641447027429723</x:v>
      </x:c>
      <x:c r="R95" s="78" t="n">
        <x:f>IF(F95="Long",(G95-I95)/G95,(I95-G95)/G95)</x:f>
        <x:v>0.01858215974280947</x:v>
      </x:c>
      <x:c r="S95" s="78" t="n">
        <x:f>IF(F95="Long",(J95-G95)/G95,(G95-J95)/G95)</x:f>
        <x:v>0.046028499755581126</x:v>
      </x:c>
      <x:c r="T95" s="80" t="n">
        <x:f>IFERROR(P95/(K95*L95*R95),0)</x:f>
        <x:v>0.4416728330152514</x:v>
      </x:c>
      <x:c r="U95" t="str">
        <x:f>IF(P95&gt;0,"Win",IF(P95&lt;0,"Loss","Breakeven"))</x:f>
        <x:v>Win</x:v>
      </x:c>
      <x:c r="V95" s="76" t="n">
        <x:f>SUM($P$5:P95)</x:f>
        <x:v>147.1875865945868</x:v>
      </x:c>
    </x:row>
    <x:row r="96">
      <x:c r="A96" t="n">
        <x:f>Trading_Raw!A96</x:f>
        <x:v>92</x:v>
      </x:c>
      <x:c r="B96" s="72" t="n">
        <x:f>Trading_Raw!B96</x:f>
        <x:v>46062.25</x:v>
      </x:c>
      <x:c r="C96" t="str">
        <x:f>Trading_Raw!C96</x:f>
        <x:v>XRPUSDT</x:v>
      </x:c>
      <x:c r="D96" t="str">
        <x:f>Trading_Raw!D96</x:f>
        <x:v>OKX</x:v>
      </x:c>
      <x:c r="E96" t="str">
        <x:f>Trading_Raw!E96</x:f>
        <x:v>15m</x:v>
      </x:c>
      <x:c r="F96" t="str">
        <x:f>Trading_Raw!F96</x:f>
        <x:v>Long</x:v>
      </x:c>
      <x:c r="G96" t="n">
        <x:f>Trading_Raw!G96</x:f>
        <x:v>0.507932</x:v>
      </x:c>
      <x:c r="H96" t="n">
        <x:f>Trading_Raw!H96</x:f>
        <x:v>0.521479</x:v>
      </x:c>
      <x:c r="I96" t="n">
        <x:f>Trading_Raw!I96</x:f>
        <x:v>0.50175</x:v>
      </x:c>
      <x:c r="J96" t="n">
        <x:f>Trading_Raw!J96</x:f>
        <x:v>0.530895</x:v>
      </x:c>
      <x:c r="K96" t="n">
        <x:f>Trading_Raw!K96</x:f>
        <x:v>300</x:v>
      </x:c>
      <x:c r="L96" t="n">
        <x:f>Trading_Raw!L96</x:f>
        <x:v>2</x:v>
      </x:c>
      <x:c r="M96" t="n">
        <x:f>Trading_Raw!M96</x:f>
        <x:v>0.48</x:v>
      </x:c>
      <x:c r="N96" t="str">
        <x:f>Trading_Raw!N96</x:f>
        <x:v>CVD divergence</x:v>
      </x:c>
      <x:c r="O96" t="str">
        <x:f>Trading_Raw!O96</x:f>
        <x:v>Moved SL</x:v>
      </x:c>
      <x:c r="P96" s="76" t="n">
        <x:f>IF(F96="Long",(H96-G96)/G96*K96*L96,(G96-H96)/G96*K96*L96)-M96</x:f>
        <x:v>15.522535772504952</x:v>
      </x:c>
      <x:c r="Q96" s="78" t="n">
        <x:f>P96/K96</x:f>
        <x:v>0.05174178590834984</x:v>
      </x:c>
      <x:c r="R96" s="78" t="n">
        <x:f>IF(F96="Long",(G96-I96)/G96,(I96-G96)/G96)</x:f>
        <x:v>0.012170920516919627</x:v>
      </x:c>
      <x:c r="S96" s="78" t="n">
        <x:f>IF(F96="Long",(J96-G96)/G96,(G96-J96)/G96)</x:f>
        <x:v>0.045208807478166274</x:v>
      </x:c>
      <x:c r="T96" s="80" t="n">
        <x:f>IFERROR(P96/(K96*L96*R96),0)</x:f>
        <x:v>2.125631575541885</x:v>
      </x:c>
      <x:c r="U96" t="str">
        <x:f>IF(P96&gt;0,"Win",IF(P96&lt;0,"Loss","Breakeven"))</x:f>
        <x:v>Win</x:v>
      </x:c>
      <x:c r="V96" s="76" t="n">
        <x:f>SUM($P$5:P96)</x:f>
        <x:v>162.71012236709174</x:v>
      </x:c>
    </x:row>
    <x:row r="97">
      <x:c r="A97" t="n">
        <x:f>Trading_Raw!A97</x:f>
        <x:v>93</x:v>
      </x:c>
      <x:c r="B97" s="72" t="n">
        <x:f>Trading_Raw!B97</x:f>
        <x:v>46041.625</x:v>
      </x:c>
      <x:c r="C97" t="str">
        <x:f>Trading_Raw!C97</x:f>
        <x:v>BNBUSDT</x:v>
      </x:c>
      <x:c r="D97" t="str">
        <x:f>Trading_Raw!D97</x:f>
        <x:v>Binance</x:v>
      </x:c>
      <x:c r="E97" t="str">
        <x:f>Trading_Raw!E97</x:f>
        <x:v>5m</x:v>
      </x:c>
      <x:c r="F97" t="str">
        <x:f>Trading_Raw!F97</x:f>
        <x:v>Long</x:v>
      </x:c>
      <x:c r="G97" t="n">
        <x:f>Trading_Raw!G97</x:f>
        <x:v>614.644344</x:v>
      </x:c>
      <x:c r="H97" t="n">
        <x:f>Trading_Raw!H97</x:f>
        <x:v>624.432009</x:v>
      </x:c>
      <x:c r="I97" t="n">
        <x:f>Trading_Raw!I97</x:f>
        <x:v>602.980278</x:v>
      </x:c>
      <x:c r="J97" t="n">
        <x:f>Trading_Raw!J97</x:f>
        <x:v>638.854832</x:v>
      </x:c>
      <x:c r="K97" t="n">
        <x:f>Trading_Raw!K97</x:f>
        <x:v>250</x:v>
      </x:c>
      <x:c r="L97" t="n">
        <x:f>Trading_Raw!L97</x:f>
        <x:v>3</x:v>
      </x:c>
      <x:c r="M97" t="n">
        <x:f>Trading_Raw!M97</x:f>
        <x:v>0.6</x:v>
      </x:c>
      <x:c r="N97" t="str">
        <x:f>Trading_Raw!N97</x:f>
        <x:v>VWAP reclaim</x:v>
      </x:c>
      <x:c r="O97" t="str">
        <x:f>Trading_Raw!O97</x:f>
        <x:v>None</x:v>
      </x:c>
      <x:c r="P97" s="76" t="n">
        <x:f>IF(F97="Long",(H97-G97)/G97*K97*L97,(G97-H97)/G97*K97*L97)-M97</x:f>
        <x:v>11.343083543610971</x:v>
      </x:c>
      <x:c r="Q97" s="78" t="n">
        <x:f>P97/K97</x:f>
        <x:v>0.04537233417444388</x:v>
      </x:c>
      <x:c r="R97" s="78" t="n">
        <x:f>IF(F97="Long",(G97-I97)/G97,(I97-G97)/G97)</x:f>
        <x:v>0.018976935383627394</x:v>
      </x:c>
      <x:c r="S97" s="78" t="n">
        <x:f>IF(F97="Long",(J97-G97)/G97,(G97-J97)/G97)</x:f>
        <x:v>0.03938942615568905</x:v>
      </x:c>
      <x:c r="T97" s="80" t="n">
        <x:f>IFERROR(P97/(K97*L97*R97),0)</x:f>
        <x:v>0.796973330294934</x:v>
      </x:c>
      <x:c r="U97" t="str">
        <x:f>IF(P97&gt;0,"Win",IF(P97&lt;0,"Loss","Breakeven"))</x:f>
        <x:v>Win</x:v>
      </x:c>
      <x:c r="V97" s="76" t="n">
        <x:f>SUM($P$5:P97)</x:f>
        <x:v>174.0532059107027</x:v>
      </x:c>
    </x:row>
    <x:row r="98">
      <x:c r="A98" t="n">
        <x:f>Trading_Raw!A98</x:f>
        <x:v>94</x:v>
      </x:c>
      <x:c r="B98" s="72" t="n">
        <x:f>Trading_Raw!B98</x:f>
        <x:v>46042.708333333336</x:v>
      </x:c>
      <x:c r="C98" t="str">
        <x:f>Trading_Raw!C98</x:f>
        <x:v>ADAUSDT</x:v>
      </x:c>
      <x:c r="D98" t="str">
        <x:f>Trading_Raw!D98</x:f>
        <x:v>OKX</x:v>
      </x:c>
      <x:c r="E98" t="str">
        <x:f>Trading_Raw!E98</x:f>
        <x:v>3m</x:v>
      </x:c>
      <x:c r="F98" t="str">
        <x:f>Trading_Raw!F98</x:f>
        <x:v>Short</x:v>
      </x:c>
      <x:c r="G98" t="n">
        <x:f>Trading_Raw!G98</x:f>
        <x:v>0.518712</x:v>
      </x:c>
      <x:c r="H98" t="n">
        <x:f>Trading_Raw!H98</x:f>
        <x:v>0.504258</x:v>
      </x:c>
      <x:c r="I98" t="n">
        <x:f>Trading_Raw!I98</x:f>
        <x:v>0.529625</x:v>
      </x:c>
      <x:c r="J98" t="n">
        <x:f>Trading_Raw!J98</x:f>
        <x:v>0.493293</x:v>
      </x:c>
      <x:c r="K98" t="n">
        <x:f>Trading_Raw!K98</x:f>
        <x:v>250</x:v>
      </x:c>
      <x:c r="L98" t="n">
        <x:f>Trading_Raw!L98</x:f>
        <x:v>3</x:v>
      </x:c>
      <x:c r="M98" t="n">
        <x:f>Trading_Raw!M98</x:f>
        <x:v>0.6</x:v>
      </x:c>
      <x:c r="N98" t="str">
        <x:f>Trading_Raw!N98</x:f>
        <x:v>Liquidity sweep</x:v>
      </x:c>
      <x:c r="O98" t="str">
        <x:f>Trading_Raw!O98</x:f>
        <x:v>None</x:v>
      </x:c>
      <x:c r="P98" s="76" t="n">
        <x:f>IF(F98="Long",(H98-G98)/G98*K98*L98,(G98-H98)/G98*K98*L98)-M98</x:f>
        <x:v>20.298880303520985</x:v>
      </x:c>
      <x:c r="Q98" s="78" t="n">
        <x:f>P98/K98</x:f>
        <x:v>0.08119552121408394</x:v>
      </x:c>
      <x:c r="R98" s="78" t="n">
        <x:f>IF(F98="Long",(G98-I98)/G98,(I98-G98)/G98)</x:f>
        <x:v>0.02103864957818609</x:v>
      </x:c>
      <x:c r="S98" s="78" t="n">
        <x:f>IF(F98="Long",(J98-G98)/G98,(G98-J98)/G98)</x:f>
        <x:v>0.04900407162355984</x:v>
      </x:c>
      <x:c r="T98" s="80" t="n">
        <x:f>IFERROR(P98/(K98*L98*R98),0)</x:f>
        <x:v>1.2864501420324281</x:v>
      </x:c>
      <x:c r="U98" t="str">
        <x:f>IF(P98&gt;0,"Win",IF(P98&lt;0,"Loss","Breakeven"))</x:f>
        <x:v>Win</x:v>
      </x:c>
      <x:c r="V98" s="76" t="n">
        <x:f>SUM($P$5:P98)</x:f>
        <x:v>194.35208621422368</x:v>
      </x:c>
    </x:row>
    <x:row r="99">
      <x:c r="A99" t="n">
        <x:f>Trading_Raw!A99</x:f>
        <x:v>95</x:v>
      </x:c>
      <x:c r="B99" s="72" t="n">
        <x:f>Trading_Raw!B99</x:f>
        <x:v>46051.041666666664</x:v>
      </x:c>
      <x:c r="C99" t="str">
        <x:f>Trading_Raw!C99</x:f>
        <x:v>ADAUSDT</x:v>
      </x:c>
      <x:c r="D99" t="str">
        <x:f>Trading_Raw!D99</x:f>
        <x:v>Bybit</x:v>
      </x:c>
      <x:c r="E99" t="str">
        <x:f>Trading_Raw!E99</x:f>
        <x:v>1h</x:v>
      </x:c>
      <x:c r="F99" t="str">
        <x:f>Trading_Raw!F99</x:f>
        <x:v>Long</x:v>
      </x:c>
      <x:c r="G99" t="n">
        <x:f>Trading_Raw!G99</x:f>
        <x:v>0.409617</x:v>
      </x:c>
      <x:c r="H99" t="n">
        <x:f>Trading_Raw!H99</x:f>
        <x:v>0.399821</x:v>
      </x:c>
      <x:c r="I99" t="n">
        <x:f>Trading_Raw!I99</x:f>
        <x:v>0.405179</x:v>
      </x:c>
      <x:c r="J99" t="n">
        <x:f>Trading_Raw!J99</x:f>
        <x:v>0.41789</x:v>
      </x:c>
      <x:c r="K99" t="n">
        <x:f>Trading_Raw!K99</x:f>
        <x:v>500</x:v>
      </x:c>
      <x:c r="L99" t="n">
        <x:f>Trading_Raw!L99</x:f>
        <x:v>1</x:v>
      </x:c>
      <x:c r="M99" t="n">
        <x:f>Trading_Raw!M99</x:f>
        <x:v>0.4</x:v>
      </x:c>
      <x:c r="N99" t="str">
        <x:f>Trading_Raw!N99</x:f>
        <x:v>VWAP reclaim</x:v>
      </x:c>
      <x:c r="O99" t="str">
        <x:f>Trading_Raw!O99</x:f>
        <x:v>Ignored funding</x:v>
      </x:c>
      <x:c r="P99" s="76" t="n">
        <x:f>IF(F99="Long",(H99-G99)/G99*K99*L99,(G99-H99)/G99*K99*L99)-M99</x:f>
        <x:v>-12.357511529062547</x:v>
      </x:c>
      <x:c r="Q99" s="78" t="n">
        <x:f>P99/K99</x:f>
        <x:v>-0.024715023058125094</x:v>
      </x:c>
      <x:c r="R99" s="78" t="n">
        <x:f>IF(F99="Long",(G99-I99)/G99,(I99-G99)/G99)</x:f>
        <x:v>0.010834511262960271</x:v>
      </x:c>
      <x:c r="S99" s="78" t="n">
        <x:f>IF(F99="Long",(J99-G99)/G99,(G99-J99)/G99)</x:f>
        <x:v>0.02019691565535604</x:v>
      </x:c>
      <x:c r="T99" s="80" t="n">
        <x:f>IFERROR(P99/(K99*L99*R99),0)</x:f>
        <x:v>-2.2811387111311476</x:v>
      </x:c>
      <x:c r="U99" t="str">
        <x:f>IF(P99&gt;0,"Win",IF(P99&lt;0,"Loss","Breakeven"))</x:f>
        <x:v>Loss</x:v>
      </x:c>
      <x:c r="V99" s="76" t="n">
        <x:f>SUM($P$5:P99)</x:f>
        <x:v>181.99457468516113</x:v>
      </x:c>
    </x:row>
    <x:row r="100">
      <x:c r="A100" t="n">
        <x:f>Trading_Raw!A100</x:f>
        <x:v>96</x:v>
      </x:c>
      <x:c r="B100" s="72" t="n">
        <x:f>Trading_Raw!B100</x:f>
        <x:v>46163.125</x:v>
      </x:c>
      <x:c r="C100" t="str">
        <x:f>Trading_Raw!C100</x:f>
        <x:v>WLFIUSDT</x:v>
      </x:c>
      <x:c r="D100" t="str">
        <x:f>Trading_Raw!D100</x:f>
        <x:v>OKX</x:v>
      </x:c>
      <x:c r="E100" t="str">
        <x:f>Trading_Raw!E100</x:f>
        <x:v>15m</x:v>
      </x:c>
      <x:c r="F100" t="str">
        <x:f>Trading_Raw!F100</x:f>
        <x:v>Long</x:v>
      </x:c>
      <x:c r="G100" t="n">
        <x:f>Trading_Raw!G100</x:f>
        <x:v>0.06271</x:v>
      </x:c>
      <x:c r="H100" t="n">
        <x:f>Trading_Raw!H100</x:f>
        <x:v>0.06191</x:v>
      </x:c>
      <x:c r="I100" t="n">
        <x:f>Trading_Raw!I100</x:f>
        <x:v>0.061503</x:v>
      </x:c>
      <x:c r="J100" t="n">
        <x:f>Trading_Raw!J100</x:f>
        <x:v>0.063784</x:v>
      </x:c>
      <x:c r="K100" t="n">
        <x:f>Trading_Raw!K100</x:f>
        <x:v>1000</x:v>
      </x:c>
      <x:c r="L100" t="n">
        <x:f>Trading_Raw!L100</x:f>
        <x:v>2</x:v>
      </x:c>
      <x:c r="M100" t="n">
        <x:f>Trading_Raw!M100</x:f>
        <x:v>1.6</x:v>
      </x:c>
      <x:c r="N100" t="str">
        <x:f>Trading_Raw!N100</x:f>
        <x:v>VWAP reclaim</x:v>
      </x:c>
      <x:c r="O100" t="str">
        <x:f>Trading_Raw!O100</x:f>
        <x:v>Late entry</x:v>
      </x:c>
      <x:c r="P100" s="76" t="n">
        <x:f>IF(F100="Long",(H100-G100)/G100*K100*L100,(G100-H100)/G100*K100*L100)-M100</x:f>
        <x:v>-27.11427204592576</x:v>
      </x:c>
      <x:c r="Q100" s="78" t="n">
        <x:f>P100/K100</x:f>
        <x:v>-0.027114272045925758</x:v>
      </x:c>
      <x:c r="R100" s="78" t="n">
        <x:f>IF(F100="Long",(G100-I100)/G100,(I100-G100)/G100)</x:f>
        <x:v>0.01924732897464519</x:v>
      </x:c>
      <x:c r="S100" s="78" t="n">
        <x:f>IF(F100="Long",(J100-G100)/G100,(G100-J100)/G100)</x:f>
        <x:v>0.017126455110827485</x:v>
      </x:c>
      <x:c r="T100" s="80" t="n">
        <x:f>IFERROR(P100/(K100*L100*R100),0)</x:f>
        <x:v>-0.704364540182272</x:v>
      </x:c>
      <x:c r="U100" t="str">
        <x:f>IF(P100&gt;0,"Win",IF(P100&lt;0,"Loss","Breakeven"))</x:f>
        <x:v>Loss</x:v>
      </x:c>
      <x:c r="V100" s="76" t="n">
        <x:f>SUM($P$5:P100)</x:f>
        <x:v>154.88030263923537</x:v>
      </x:c>
    </x:row>
    <x:row r="101">
      <x:c r="A101" t="n">
        <x:f>Trading_Raw!A101</x:f>
        <x:v>97</x:v>
      </x:c>
      <x:c r="B101" s="72" t="n">
        <x:f>Trading_Raw!B101</x:f>
        <x:v>46130.458333333336</x:v>
      </x:c>
      <x:c r="C101" t="str">
        <x:f>Trading_Raw!C101</x:f>
        <x:v>SOLUSDT</x:v>
      </x:c>
      <x:c r="D101" t="str">
        <x:f>Trading_Raw!D101</x:f>
        <x:v>OKX</x:v>
      </x:c>
      <x:c r="E101" t="str">
        <x:f>Trading_Raw!E101</x:f>
        <x:v>5m</x:v>
      </x:c>
      <x:c r="F101" t="str">
        <x:f>Trading_Raw!F101</x:f>
        <x:v>Short</x:v>
      </x:c>
      <x:c r="G101" t="n">
        <x:f>Trading_Raw!G101</x:f>
        <x:v>152.985505</x:v>
      </x:c>
      <x:c r="H101" t="n">
        <x:f>Trading_Raw!H101</x:f>
        <x:v>153.013885</x:v>
      </x:c>
      <x:c r="I101" t="n">
        <x:f>Trading_Raw!I101</x:f>
        <x:v>155.105276</x:v>
      </x:c>
      <x:c r="J101" t="n">
        <x:f>Trading_Raw!J101</x:f>
        <x:v>144.74279</x:v>
      </x:c>
      <x:c r="K101" t="n">
        <x:f>Trading_Raw!K101</x:f>
        <x:v>150</x:v>
      </x:c>
      <x:c r="L101" t="n">
        <x:f>Trading_Raw!L101</x:f>
        <x:v>1</x:v>
      </x:c>
      <x:c r="M101" t="n">
        <x:f>Trading_Raw!M101</x:f>
        <x:v>0.12</x:v>
      </x:c>
      <x:c r="N101" t="str">
        <x:f>Trading_Raw!N101</x:f>
        <x:v>CVD divergence</x:v>
      </x:c>
      <x:c r="O101" t="str">
        <x:f>Trading_Raw!O101</x:f>
        <x:v>Ignored funding</x:v>
      </x:c>
      <x:c r="P101" s="76" t="n">
        <x:f>IF(F101="Long",(H101-G101)/G101*K101*L101,(G101-H101)/G101*K101*L101)-M101</x:f>
        <x:v>-0.14782616562268286</x:v>
      </x:c>
      <x:c r="Q101" s="78" t="n">
        <x:f>P101/K101</x:f>
        <x:v>-0.0009855077708178857</x:v>
      </x:c>
      <x:c r="R101" s="78" t="n">
        <x:f>IF(F101="Long",(G101-I101)/G101,(I101-G101)/G101)</x:f>
        <x:v>0.01385602511819675</x:v>
      </x:c>
      <x:c r="S101" s="78" t="n">
        <x:f>IF(F101="Long",(J101-G101)/G101,(G101-J101)/G101)</x:f>
        <x:v>0.05387905867291137</x:v>
      </x:c>
      <x:c r="T101" s="80" t="n">
        <x:f>IFERROR(P101/(K101*L101*R101),0)</x:f>
        <x:v>-0.07112485452437904</x:v>
      </x:c>
      <x:c r="U101" t="str">
        <x:f>IF(P101&gt;0,"Win",IF(P101&lt;0,"Loss","Breakeven"))</x:f>
        <x:v>Loss</x:v>
      </x:c>
      <x:c r="V101" s="76" t="n">
        <x:f>SUM($P$5:P101)</x:f>
        <x:v>154.73247647361268</x:v>
      </x:c>
    </x:row>
    <x:row r="102">
      <x:c r="A102" t="n">
        <x:f>Trading_Raw!A102</x:f>
        <x:v>98</x:v>
      </x:c>
      <x:c r="B102" s="72" t="n">
        <x:f>Trading_Raw!B102</x:f>
        <x:v>46107.958333333336</x:v>
      </x:c>
      <x:c r="C102" t="str">
        <x:f>Trading_Raw!C102</x:f>
        <x:v>BTCUSDT</x:v>
      </x:c>
      <x:c r="D102" t="str">
        <x:f>Trading_Raw!D102</x:f>
        <x:v>Binance</x:v>
      </x:c>
      <x:c r="E102" t="str">
        <x:f>Trading_Raw!E102</x:f>
        <x:v>15m</x:v>
      </x:c>
      <x:c r="F102" t="str">
        <x:f>Trading_Raw!F102</x:f>
        <x:v>Short</x:v>
      </x:c>
      <x:c r="G102" t="n">
        <x:f>Trading_Raw!G102</x:f>
        <x:v>74424.558654</x:v>
      </x:c>
      <x:c r="H102" t="n">
        <x:f>Trading_Raw!H102</x:f>
        <x:v>75088.777812</x:v>
      </x:c>
      <x:c r="I102" t="n">
        <x:f>Trading_Raw!I102</x:f>
        <x:v>75025.272967</x:v>
      </x:c>
      <x:c r="J102" t="n">
        <x:f>Trading_Raw!J102</x:f>
        <x:v>73269.25156</x:v>
      </x:c>
      <x:c r="K102" t="n">
        <x:f>Trading_Raw!K102</x:f>
        <x:v>100</x:v>
      </x:c>
      <x:c r="L102" t="n">
        <x:f>Trading_Raw!L102</x:f>
        <x:v>1</x:v>
      </x:c>
      <x:c r="M102" t="n">
        <x:f>Trading_Raw!M102</x:f>
        <x:v>0.08</x:v>
      </x:c>
      <x:c r="N102" t="str">
        <x:f>Trading_Raw!N102</x:f>
        <x:v>Range deviation</x:v>
      </x:c>
      <x:c r="O102" t="str">
        <x:f>Trading_Raw!O102</x:f>
        <x:v>No HTF confirmation</x:v>
      </x:c>
      <x:c r="P102" s="76" t="n">
        <x:f>IF(F102="Long",(H102-G102)/G102*K102*L102,(G102-H102)/G102*K102*L102)-M102</x:f>
        <x:v>-0.972473089545568</x:v>
      </x:c>
      <x:c r="Q102" s="78" t="n">
        <x:f>P102/K102</x:f>
        <x:v>-0.00972473089545568</x:v>
      </x:c>
      <x:c r="R102" s="78" t="n">
        <x:f>IF(F102="Long",(G102-I102)/G102,(I102-G102)/G102)</x:f>
        <x:v>0.00807145280891388</x:v>
      </x:c>
      <x:c r="S102" s="78" t="n">
        <x:f>IF(F102="Long",(J102-G102)/G102,(G102-J102)/G102)</x:f>
        <x:v>0.015523197112542046</x:v>
      </x:c>
      <x:c r="T102" s="80" t="n">
        <x:f>IFERROR(P102/(K102*L102*R102),0)</x:f>
        <x:v>-1.2048302982972243</x:v>
      </x:c>
      <x:c r="U102" t="str">
        <x:f>IF(P102&gt;0,"Win",IF(P102&lt;0,"Loss","Breakeven"))</x:f>
        <x:v>Loss</x:v>
      </x:c>
      <x:c r="V102" s="76" t="n">
        <x:f>SUM($P$5:P102)</x:f>
        <x:v>153.76000338406712</x:v>
      </x:c>
    </x:row>
    <x:row r="103">
      <x:c r="A103" t="n">
        <x:f>Trading_Raw!A103</x:f>
        <x:v>99</x:v>
      </x:c>
      <x:c r="B103" s="72" t="n">
        <x:f>Trading_Raw!B103</x:f>
        <x:v>46138.916666666664</x:v>
      </x:c>
      <x:c r="C103" t="str">
        <x:f>Trading_Raw!C103</x:f>
        <x:v>ETHUSDT</x:v>
      </x:c>
      <x:c r="D103" t="str">
        <x:f>Trading_Raw!D103</x:f>
        <x:v>Binance</x:v>
      </x:c>
      <x:c r="E103" t="str">
        <x:f>Trading_Raw!E103</x:f>
        <x:v>5m</x:v>
      </x:c>
      <x:c r="F103" t="str">
        <x:f>Trading_Raw!F103</x:f>
        <x:v>Short</x:v>
      </x:c>
      <x:c r="G103" t="n">
        <x:f>Trading_Raw!G103</x:f>
        <x:v>3410.20908</x:v>
      </x:c>
      <x:c r="H103" t="n">
        <x:f>Trading_Raw!H103</x:f>
        <x:v>3647.674245</x:v>
      </x:c>
      <x:c r="I103" t="n">
        <x:f>Trading_Raw!I103</x:f>
        <x:v>3453.824553</x:v>
      </x:c>
      <x:c r="J103" t="n">
        <x:f>Trading_Raw!J103</x:f>
        <x:v>3316.994102</x:v>
      </x:c>
      <x:c r="K103" t="n">
        <x:f>Trading_Raw!K103</x:f>
        <x:v>250</x:v>
      </x:c>
      <x:c r="L103" t="n">
        <x:f>Trading_Raw!L103</x:f>
        <x:v>2</x:v>
      </x:c>
      <x:c r="M103" t="n">
        <x:f>Trading_Raw!M103</x:f>
        <x:v>0.4</x:v>
      </x:c>
      <x:c r="N103" t="str">
        <x:f>Trading_Raw!N103</x:f>
        <x:v>Liquidity sweep</x:v>
      </x:c>
      <x:c r="O103" t="str">
        <x:f>Trading_Raw!O103</x:f>
        <x:v>No HTF confirmation</x:v>
      </x:c>
      <x:c r="P103" s="76" t="n">
        <x:f>IF(F103="Long",(H103-G103)/G103*K103*L103,(G103-H103)/G103*K103*L103)-M103</x:f>
        <x:v>-35.21680439957072</x:v>
      </x:c>
      <x:c r="Q103" s="78" t="n">
        <x:f>P103/K103</x:f>
        <x:v>-0.14086721759828288</x:v>
      </x:c>
      <x:c r="R103" s="78" t="n">
        <x:f>IF(F103="Long",(G103-I103)/G103,(I103-G103)/G103)</x:f>
        <x:v>0.012789677106835876</x:v>
      </x:c>
      <x:c r="S103" s="78" t="n">
        <x:f>IF(F103="Long",(J103-G103)/G103,(G103-J103)/G103)</x:f>
        <x:v>0.02733409471773501</x:v>
      </x:c>
      <x:c r="T103" s="80" t="n">
        <x:f>IFERROR(P103/(K103*L103*R103),0)</x:f>
        <x:v>-5.507067004959477</x:v>
      </x:c>
      <x:c r="U103" t="str">
        <x:f>IF(P103&gt;0,"Win",IF(P103&lt;0,"Loss","Breakeven"))</x:f>
        <x:v>Loss</x:v>
      </x:c>
      <x:c r="V103" s="76" t="n">
        <x:f>SUM($P$5:P103)</x:f>
        <x:v>118.5431989844964</x:v>
      </x:c>
    </x:row>
    <x:row r="104">
      <x:c r="A104" t="n">
        <x:f>Trading_Raw!A104</x:f>
        <x:v>100</x:v>
      </x:c>
      <x:c r="B104" s="72" t="n">
        <x:f>Trading_Raw!B104</x:f>
        <x:v>46105.833333333336</x:v>
      </x:c>
      <x:c r="C104" t="str">
        <x:f>Trading_Raw!C104</x:f>
        <x:v>BNBUSDT</x:v>
      </x:c>
      <x:c r="D104" t="str">
        <x:f>Trading_Raw!D104</x:f>
        <x:v>Bybit</x:v>
      </x:c>
      <x:c r="E104" t="str">
        <x:f>Trading_Raw!E104</x:f>
        <x:v>5m</x:v>
      </x:c>
      <x:c r="F104" t="str">
        <x:f>Trading_Raw!F104</x:f>
        <x:v>Long</x:v>
      </x:c>
      <x:c r="G104" t="n">
        <x:f>Trading_Raw!G104</x:f>
        <x:v>524.907247</x:v>
      </x:c>
      <x:c r="H104" t="n">
        <x:f>Trading_Raw!H104</x:f>
        <x:v>530.637744</x:v>
      </x:c>
      <x:c r="I104" t="n">
        <x:f>Trading_Raw!I104</x:f>
        <x:v>517.615115</x:v>
      </x:c>
      <x:c r="J104" t="n">
        <x:f>Trading_Raw!J104</x:f>
        <x:v>538.467944</x:v>
      </x:c>
      <x:c r="K104" t="n">
        <x:f>Trading_Raw!K104</x:f>
        <x:v>1000</x:v>
      </x:c>
      <x:c r="L104" t="n">
        <x:f>Trading_Raw!L104</x:f>
        <x:v>10</x:v>
      </x:c>
      <x:c r="M104" t="n">
        <x:f>Trading_Raw!M104</x:f>
        <x:v>8</x:v>
      </x:c>
      <x:c r="N104" t="str">
        <x:f>Trading_Raw!N104</x:f>
        <x:v>VWAP reclaim</x:v>
      </x:c>
      <x:c r="O104" t="str">
        <x:f>Trading_Raw!O104</x:f>
        <x:v>Oversized</x:v>
      </x:c>
      <x:c r="P104" s="76" t="n">
        <x:f>IF(F104="Long",(H104-G104)/G104*K104*L104,(G104-H104)/G104*K104*L104)-M104</x:f>
        <x:v>101.17161141804571</x:v>
      </x:c>
      <x:c r="Q104" s="78" t="n">
        <x:f>P104/K104</x:f>
        <x:v>0.10117161141804572</x:v>
      </x:c>
      <x:c r="R104" s="78" t="n">
        <x:f>IF(F104="Long",(G104-I104)/G104,(I104-G104)/G104)</x:f>
        <x:v>0.01389222961137749</x:v>
      </x:c>
      <x:c r="S104" s="78" t="n">
        <x:f>IF(F104="Long",(J104-G104)/G104,(G104-J104)/G104)</x:f>
        <x:v>0.025834463283758026</x:v>
      </x:c>
      <x:c r="T104" s="80" t="n">
        <x:f>IFERROR(P104/(K104*L104*R104),0)</x:f>
        <x:v>0.7282604322576698</x:v>
      </x:c>
      <x:c r="U104" t="str">
        <x:f>IF(P104&gt;0,"Win",IF(P104&lt;0,"Loss","Breakeven"))</x:f>
        <x:v>Win</x:v>
      </x:c>
      <x:c r="V104" s="76" t="n">
        <x:f>SUM($P$5:P104)</x:f>
        <x:v>219.71481040254213</x:v>
      </x:c>
    </x:row>
    <x:row r="105">
      <x:c r="A105" t="n">
        <x:f>Trading_Raw!A105</x:f>
        <x:v>101</x:v>
      </x:c>
      <x:c r="B105" s="72" t="n">
        <x:f>Trading_Raw!B105</x:f>
        <x:v>46054.416666666664</x:v>
      </x:c>
      <x:c r="C105" t="str">
        <x:f>Trading_Raw!C105</x:f>
        <x:v>WLFIUSDT</x:v>
      </x:c>
      <x:c r="D105" t="str">
        <x:f>Trading_Raw!D105</x:f>
        <x:v>OKX</x:v>
      </x:c>
      <x:c r="E105" t="str">
        <x:f>Trading_Raw!E105</x:f>
        <x:v>3m</x:v>
      </x:c>
      <x:c r="F105" t="str">
        <x:f>Trading_Raw!F105</x:f>
        <x:v>Short</x:v>
      </x:c>
      <x:c r="G105" t="n">
        <x:f>Trading_Raw!G105</x:f>
        <x:v>0.066081</x:v>
      </x:c>
      <x:c r="H105" t="n">
        <x:f>Trading_Raw!H105</x:f>
        <x:v>0.064971</x:v>
      </x:c>
      <x:c r="I105" t="n">
        <x:f>Trading_Raw!I105</x:f>
        <x:v>0.067087</x:v>
      </x:c>
      <x:c r="J105" t="n">
        <x:f>Trading_Raw!J105</x:f>
        <x:v>0.06272</x:v>
      </x:c>
      <x:c r="K105" t="n">
        <x:f>Trading_Raw!K105</x:f>
        <x:v>300</x:v>
      </x:c>
      <x:c r="L105" t="n">
        <x:f>Trading_Raw!L105</x:f>
        <x:v>5</x:v>
      </x:c>
      <x:c r="M105" t="n">
        <x:f>Trading_Raw!M105</x:f>
        <x:v>1.2</x:v>
      </x:c>
      <x:c r="N105" t="str">
        <x:f>Trading_Raw!N105</x:f>
        <x:v>CVD divergence</x:v>
      </x:c>
      <x:c r="O105" t="str">
        <x:f>Trading_Raw!O105</x:f>
        <x:v>None</x:v>
      </x:c>
      <x:c r="P105" s="76" t="n">
        <x:f>IF(F105="Long",(H105-G105)/G105*K105*L105,(G105-H105)/G105*K105*L105)-M105</x:f>
        <x:v>23.996349934171693</x:v>
      </x:c>
      <x:c r="Q105" s="78" t="n">
        <x:f>P105/K105</x:f>
        <x:v>0.07998783311390564</x:v>
      </x:c>
      <x:c r="R105" s="78" t="n">
        <x:f>IF(F105="Long",(G105-I105)/G105,(I105-G105)/G105)</x:f>
        <x:v>0.015223740560826758</x:v>
      </x:c>
      <x:c r="S105" s="78" t="n">
        <x:f>IF(F105="Long",(J105-G105)/G105,(G105-J105)/G105)</x:f>
        <x:v>0.05086182109834904</x:v>
      </x:c>
      <x:c r="T105" s="80" t="n">
        <x:f>IFERROR(P105/(K105*L105*R105),0)</x:f>
        <x:v>1.05083021868788</x:v>
      </x:c>
      <x:c r="U105" t="str">
        <x:f>IF(P105&gt;0,"Win",IF(P105&lt;0,"Loss","Breakeven"))</x:f>
        <x:v>Win</x:v>
      </x:c>
      <x:c r="V105" s="76" t="n">
        <x:f>SUM($P$5:P105)</x:f>
        <x:v>243.71116033671382</x:v>
      </x:c>
    </x:row>
    <x:row r="106">
      <x:c r="A106" t="n">
        <x:f>Trading_Raw!A106</x:f>
        <x:v>102</x:v>
      </x:c>
      <x:c r="B106" s="72" t="n">
        <x:f>Trading_Raw!B106</x:f>
        <x:v>46047.916666666664</x:v>
      </x:c>
      <x:c r="C106" t="str">
        <x:f>Trading_Raw!C106</x:f>
        <x:v>BNBUSDT</x:v>
      </x:c>
      <x:c r="D106" t="str">
        <x:f>Trading_Raw!D106</x:f>
        <x:v>OKX</x:v>
      </x:c>
      <x:c r="E106" t="str">
        <x:f>Trading_Raw!E106</x:f>
        <x:v>15m</x:v>
      </x:c>
      <x:c r="F106" t="str">
        <x:f>Trading_Raw!F106</x:f>
        <x:v>Short</x:v>
      </x:c>
      <x:c r="G106" t="n">
        <x:f>Trading_Raw!G106</x:f>
        <x:v>556.71477</x:v>
      </x:c>
      <x:c r="H106" t="n">
        <x:f>Trading_Raw!H106</x:f>
        <x:v>563.363213</x:v>
      </x:c>
      <x:c r="I106" t="n">
        <x:f>Trading_Raw!I106</x:f>
        <x:v>568.747581</x:v>
      </x:c>
      <x:c r="J106" t="n">
        <x:f>Trading_Raw!J106</x:f>
        <x:v>538.832239</x:v>
      </x:c>
      <x:c r="K106" t="n">
        <x:f>Trading_Raw!K106</x:f>
        <x:v>150</x:v>
      </x:c>
      <x:c r="L106" t="n">
        <x:f>Trading_Raw!L106</x:f>
        <x:v>3</x:v>
      </x:c>
      <x:c r="M106" t="n">
        <x:f>Trading_Raw!M106</x:f>
        <x:v>0.36</x:v>
      </x:c>
      <x:c r="N106" t="str">
        <x:f>Trading_Raw!N106</x:f>
        <x:v>VWAP reclaim</x:v>
      </x:c>
      <x:c r="O106" t="str">
        <x:f>Trading_Raw!O106</x:f>
        <x:v>Oversized</x:v>
      </x:c>
      <x:c r="P106" s="76" t="n">
        <x:f>IF(F106="Long",(H106-G106)/G106*K106*L106,(G106-H106)/G106*K106*L106)-M106</x:f>
        <x:v>-5.734025463703735</x:v>
      </x:c>
      <x:c r="Q106" s="78" t="n">
        <x:f>P106/K106</x:f>
        <x:v>-0.03822683642469157</x:v>
      </x:c>
      <x:c r="R106" s="78" t="n">
        <x:f>IF(F106="Long",(G106-I106)/G106,(I106-G106)/G106)</x:f>
        <x:v>0.021613960412797964</x:v>
      </x:c>
      <x:c r="S106" s="78" t="n">
        <x:f>IF(F106="Long",(J106-G106)/G106,(G106-J106)/G106)</x:f>
        <x:v>0.032121531462152665</x:v>
      </x:c>
      <x:c r="T106" s="80" t="n">
        <x:f>IFERROR(P106/(K106*L106*R106),0)</x:f>
        <x:v>-0.589539286871536</x:v>
      </x:c>
      <x:c r="U106" t="str">
        <x:f>IF(P106&gt;0,"Win",IF(P106&lt;0,"Loss","Breakeven"))</x:f>
        <x:v>Loss</x:v>
      </x:c>
      <x:c r="V106" s="76" t="n">
        <x:f>SUM($P$5:P106)</x:f>
        <x:v>237.97713487301007</x:v>
      </x:c>
    </x:row>
    <x:row r="107">
      <x:c r="A107" t="n">
        <x:f>Trading_Raw!A107</x:f>
        <x:v>103</x:v>
      </x:c>
      <x:c r="B107" s="72" t="n">
        <x:f>Trading_Raw!B107</x:f>
        <x:v>46171.75</x:v>
      </x:c>
      <x:c r="C107" t="str">
        <x:f>Trading_Raw!C107</x:f>
        <x:v>WLFIUSDT</x:v>
      </x:c>
      <x:c r="D107" t="str">
        <x:f>Trading_Raw!D107</x:f>
        <x:v>Binance</x:v>
      </x:c>
      <x:c r="E107" t="str">
        <x:f>Trading_Raw!E107</x:f>
        <x:v>3m</x:v>
      </x:c>
      <x:c r="F107" t="str">
        <x:f>Trading_Raw!F107</x:f>
        <x:v>Short</x:v>
      </x:c>
      <x:c r="G107" t="n">
        <x:f>Trading_Raw!G107</x:f>
        <x:v>0.065852</x:v>
      </x:c>
      <x:c r="H107" t="n">
        <x:f>Trading_Raw!H107</x:f>
        <x:v>0.067936</x:v>
      </x:c>
      <x:c r="I107" t="n">
        <x:f>Trading_Raw!I107</x:f>
        <x:v>0.066829</x:v>
      </x:c>
      <x:c r="J107" t="n">
        <x:f>Trading_Raw!J107</x:f>
        <x:v>0.062349</x:v>
      </x:c>
      <x:c r="K107" t="n">
        <x:f>Trading_Raw!K107</x:f>
        <x:v>500</x:v>
      </x:c>
      <x:c r="L107" t="n">
        <x:f>Trading_Raw!L107</x:f>
        <x:v>1</x:v>
      </x:c>
      <x:c r="M107" t="n">
        <x:f>Trading_Raw!M107</x:f>
        <x:v>0.4</x:v>
      </x:c>
      <x:c r="N107" t="str">
        <x:f>Trading_Raw!N107</x:f>
        <x:v>OB retest</x:v>
      </x:c>
      <x:c r="O107" t="str">
        <x:f>Trading_Raw!O107</x:f>
        <x:v>No HTF confirmation</x:v>
      </x:c>
      <x:c r="P107" s="76" t="n">
        <x:f>IF(F107="Long",(H107-G107)/G107*K107*L107,(G107-H107)/G107*K107*L107)-M107</x:f>
        <x:v>-16.22336147725204</x:v>
      </x:c>
      <x:c r="Q107" s="78" t="n">
        <x:f>P107/K107</x:f>
        <x:v>-0.032446722954504084</x:v>
      </x:c>
      <x:c r="R107" s="78" t="n">
        <x:f>IF(F107="Long",(G107-I107)/G107,(I107-G107)/G107)</x:f>
        <x:v>0.01483629958087842</x:v>
      </x:c>
      <x:c r="S107" s="78" t="n">
        <x:f>IF(F107="Long",(J107-G107)/G107,(G107-J107)/G107)</x:f>
        <x:v>0.05319504343072333</x:v>
      </x:c>
      <x:c r="T107" s="80" t="n">
        <x:f>IFERROR(P107/(K107*L107*R107),0)</x:f>
        <x:v>-2.1869821903787003</x:v>
      </x:c>
      <x:c r="U107" t="str">
        <x:f>IF(P107&gt;0,"Win",IF(P107&lt;0,"Loss","Breakeven"))</x:f>
        <x:v>Loss</x:v>
      </x:c>
      <x:c r="V107" s="76" t="n">
        <x:f>SUM($P$5:P107)</x:f>
        <x:v>221.75377339575803</x:v>
      </x:c>
    </x:row>
    <x:row r="108">
      <x:c r="A108" t="n">
        <x:f>Trading_Raw!A108</x:f>
        <x:v>104</x:v>
      </x:c>
      <x:c r="B108" s="72" t="n">
        <x:f>Trading_Raw!B108</x:f>
        <x:v>46032.75</x:v>
      </x:c>
      <x:c r="C108" t="str">
        <x:f>Trading_Raw!C108</x:f>
        <x:v>FARTCOINUSDT</x:v>
      </x:c>
      <x:c r="D108" t="str">
        <x:f>Trading_Raw!D108</x:f>
        <x:v>OKX</x:v>
      </x:c>
      <x:c r="E108" t="str">
        <x:f>Trading_Raw!E108</x:f>
        <x:v>3m</x:v>
      </x:c>
      <x:c r="F108" t="str">
        <x:f>Trading_Raw!F108</x:f>
        <x:v>Long</x:v>
      </x:c>
      <x:c r="G108" t="n">
        <x:f>Trading_Raw!G108</x:f>
        <x:v>0.146667</x:v>
      </x:c>
      <x:c r="H108" t="n">
        <x:f>Trading_Raw!H108</x:f>
        <x:v>0.144022</x:v>
      </x:c>
      <x:c r="I108" t="n">
        <x:f>Trading_Raw!I108</x:f>
        <x:v>0.143269</x:v>
      </x:c>
      <x:c r="J108" t="n">
        <x:f>Trading_Raw!J108</x:f>
        <x:v>0.149995</x:v>
      </x:c>
      <x:c r="K108" t="n">
        <x:f>Trading_Raw!K108</x:f>
        <x:v>100</x:v>
      </x:c>
      <x:c r="L108" t="n">
        <x:f>Trading_Raw!L108</x:f>
        <x:v>1</x:v>
      </x:c>
      <x:c r="M108" t="n">
        <x:f>Trading_Raw!M108</x:f>
        <x:v>0.08</x:v>
      </x:c>
      <x:c r="N108" t="str">
        <x:f>Trading_Raw!N108</x:f>
        <x:v>OB retest</x:v>
      </x:c>
      <x:c r="O108" t="str">
        <x:f>Trading_Raw!O108</x:f>
        <x:v>Late entry</x:v>
      </x:c>
      <x:c r="P108" s="76" t="n">
        <x:f>IF(F108="Long",(H108-G108)/G108*K108*L108,(G108-H108)/G108*K108*L108)-M108</x:f>
        <x:v>-1.8834049922613685</x:v>
      </x:c>
      <x:c r="Q108" s="78" t="n">
        <x:f>P108/K108</x:f>
        <x:v>-0.018834049922613685</x:v>
      </x:c>
      <x:c r="R108" s="78" t="n">
        <x:f>IF(F108="Long",(G108-I108)/G108,(I108-G108)/G108)</x:f>
        <x:v>0.023168129163342707</x:v>
      </x:c>
      <x:c r="S108" s="78" t="n">
        <x:f>IF(F108="Long",(J108-G108)/G108,(G108-J108)/G108)</x:f>
        <x:v>0.022690857520778346</x:v>
      </x:c>
      <x:c r="T108" s="80" t="n">
        <x:f>IFERROR(P108/(K108*L108*R108),0)</x:f>
        <x:v>-0.8129292525014695</x:v>
      </x:c>
      <x:c r="U108" t="str">
        <x:f>IF(P108&gt;0,"Win",IF(P108&lt;0,"Loss","Breakeven"))</x:f>
        <x:v>Loss</x:v>
      </x:c>
      <x:c r="V108" s="76" t="n">
        <x:f>SUM($P$5:P108)</x:f>
        <x:v>219.87036840349666</x:v>
      </x:c>
    </x:row>
    <x:row r="109">
      <x:c r="A109" t="n">
        <x:f>Trading_Raw!A109</x:f>
        <x:v>105</x:v>
      </x:c>
      <x:c r="B109" s="72" t="n">
        <x:f>Trading_Raw!B109</x:f>
        <x:v>46166.25</x:v>
      </x:c>
      <x:c r="C109" t="str">
        <x:f>Trading_Raw!C109</x:f>
        <x:v>SOLUSDT</x:v>
      </x:c>
      <x:c r="D109" t="str">
        <x:f>Trading_Raw!D109</x:f>
        <x:v>OKX</x:v>
      </x:c>
      <x:c r="E109" t="str">
        <x:f>Trading_Raw!E109</x:f>
        <x:v>5m</x:v>
      </x:c>
      <x:c r="F109" t="str">
        <x:f>Trading_Raw!F109</x:f>
        <x:v>Long</x:v>
      </x:c>
      <x:c r="G109" t="n">
        <x:f>Trading_Raw!G109</x:f>
        <x:v>124.506253</x:v>
      </x:c>
      <x:c r="H109" t="n">
        <x:f>Trading_Raw!H109</x:f>
        <x:v>125.118503</x:v>
      </x:c>
      <x:c r="I109" t="n">
        <x:f>Trading_Raw!I109</x:f>
        <x:v>121.773155</x:v>
      </x:c>
      <x:c r="J109" t="n">
        <x:f>Trading_Raw!J109</x:f>
        <x:v>129.674491</x:v>
      </x:c>
      <x:c r="K109" t="n">
        <x:f>Trading_Raw!K109</x:f>
        <x:v>300</x:v>
      </x:c>
      <x:c r="L109" t="n">
        <x:f>Trading_Raw!L109</x:f>
        <x:v>2</x:v>
      </x:c>
      <x:c r="M109" t="n">
        <x:f>Trading_Raw!M109</x:f>
        <x:v>0.48</x:v>
      </x:c>
      <x:c r="N109" t="str">
        <x:f>Trading_Raw!N109</x:f>
        <x:v>CVD divergence</x:v>
      </x:c>
      <x:c r="O109" t="str">
        <x:f>Trading_Raw!O109</x:f>
        <x:v>Oversized</x:v>
      </x:c>
      <x:c r="P109" s="76" t="n">
        <x:f>IF(F109="Long",(H109-G109)/G109*K109*L109,(G109-H109)/G109*K109*L109)-M109</x:f>
        <x:v>2.4704542233714304</x:v>
      </x:c>
      <x:c r="Q109" s="78" t="n">
        <x:f>P109/K109</x:f>
        <x:v>0.0082348474112381</x:v>
      </x:c>
      <x:c r="R109" s="78" t="n">
        <x:f>IF(F109="Long",(G109-I109)/G109,(I109-G109)/G109)</x:f>
        <x:v>0.021951491866035018</x:v>
      </x:c>
      <x:c r="S109" s="78" t="n">
        <x:f>IF(F109="Long",(J109-G109)/G109,(G109-J109)/G109)</x:f>
        <x:v>0.04150986697832749</x:v>
      </x:c>
      <x:c r="T109" s="80" t="n">
        <x:f>IFERROR(P109/(K109*L109*R109),0)</x:f>
        <x:v>0.18756919715282927</x:v>
      </x:c>
      <x:c r="U109" t="str">
        <x:f>IF(P109&gt;0,"Win",IF(P109&lt;0,"Loss","Breakeven"))</x:f>
        <x:v>Win</x:v>
      </x:c>
      <x:c r="V109" s="76" t="n">
        <x:f>SUM($P$5:P109)</x:f>
        <x:v>222.3408226268681</x:v>
      </x:c>
    </x:row>
    <x:row r="110">
      <x:c r="A110" t="n">
        <x:f>Trading_Raw!A110</x:f>
        <x:v>106</x:v>
      </x:c>
      <x:c r="B110" s="72" t="n">
        <x:f>Trading_Raw!B110</x:f>
        <x:v>46092.416666666664</x:v>
      </x:c>
      <x:c r="C110" t="str">
        <x:f>Trading_Raw!C110</x:f>
        <x:v>BTCUSDT</x:v>
      </x:c>
      <x:c r="D110" t="str">
        <x:f>Trading_Raw!D110</x:f>
        <x:v>Binance</x:v>
      </x:c>
      <x:c r="E110" t="str">
        <x:f>Trading_Raw!E110</x:f>
        <x:v>15m</x:v>
      </x:c>
      <x:c r="F110" t="str">
        <x:f>Trading_Raw!F110</x:f>
        <x:v>Short</x:v>
      </x:c>
      <x:c r="G110" t="n">
        <x:f>Trading_Raw!G110</x:f>
        <x:v>59788.768502</x:v>
      </x:c>
      <x:c r="H110" t="n">
        <x:f>Trading_Raw!H110</x:f>
        <x:v>59436.373433</x:v>
      </x:c>
      <x:c r="I110" t="n">
        <x:f>Trading_Raw!I110</x:f>
        <x:v>60809.771146</x:v>
      </x:c>
      <x:c r="J110" t="n">
        <x:f>Trading_Raw!J110</x:f>
        <x:v>57292.584428</x:v>
      </x:c>
      <x:c r="K110" t="n">
        <x:f>Trading_Raw!K110</x:f>
        <x:v>100</x:v>
      </x:c>
      <x:c r="L110" t="n">
        <x:f>Trading_Raw!L110</x:f>
        <x:v>5</x:v>
      </x:c>
      <x:c r="M110" t="n">
        <x:f>Trading_Raw!M110</x:f>
        <x:v>0.4</x:v>
      </x:c>
      <x:c r="N110" t="str">
        <x:f>Trading_Raw!N110</x:f>
        <x:v>OB retest</x:v>
      </x:c>
      <x:c r="O110" t="str">
        <x:f>Trading_Raw!O110</x:f>
        <x:v>No HTF confirmation</x:v>
      </x:c>
      <x:c r="P110" s="76" t="n">
        <x:f>IF(F110="Long",(H110-G110)/G110*K110*L110,(G110-H110)/G110*K110*L110)-M110</x:f>
        <x:v>2.5470005640625493</x:v>
      </x:c>
      <x:c r="Q110" s="78" t="n">
        <x:f>P110/K110</x:f>
        <x:v>0.025470005640625494</x:v>
      </x:c>
      <x:c r="R110" s="78" t="n">
        <x:f>IF(F110="Long",(G110-I110)/G110,(I110-G110)/G110)</x:f>
        <x:v>0.017076830140193414</x:v>
      </x:c>
      <x:c r="S110" s="78" t="n">
        <x:f>IF(F110="Long",(J110-G110)/G110,(G110-J110)/G110)</x:f>
        <x:v>0.04175004999336116</x:v>
      </x:c>
      <x:c r="T110" s="80" t="n">
        <x:f>IFERROR(P110/(K110*L110*R110),0)</x:f>
        <x:v>0.298298986773631</x:v>
      </x:c>
      <x:c r="U110" t="str">
        <x:f>IF(P110&gt;0,"Win",IF(P110&lt;0,"Loss","Breakeven"))</x:f>
        <x:v>Win</x:v>
      </x:c>
      <x:c r="V110" s="76" t="n">
        <x:f>SUM($P$5:P110)</x:f>
        <x:v>224.88782319093065</x:v>
      </x:c>
    </x:row>
    <x:row r="111">
      <x:c r="A111" t="n">
        <x:f>Trading_Raw!A111</x:f>
        <x:v>107</x:v>
      </x:c>
      <x:c r="B111" s="72" t="n">
        <x:f>Trading_Raw!B111</x:f>
        <x:v>46053.916666666664</x:v>
      </x:c>
      <x:c r="C111" t="str">
        <x:f>Trading_Raw!C111</x:f>
        <x:v>ADAUSDT</x:v>
      </x:c>
      <x:c r="D111" t="str">
        <x:f>Trading_Raw!D111</x:f>
        <x:v>Binance</x:v>
      </x:c>
      <x:c r="E111" t="str">
        <x:f>Trading_Raw!E111</x:f>
        <x:v>15m</x:v>
      </x:c>
      <x:c r="F111" t="str">
        <x:f>Trading_Raw!F111</x:f>
        <x:v>Short</x:v>
      </x:c>
      <x:c r="G111" t="n">
        <x:f>Trading_Raw!G111</x:f>
        <x:v>0.428599</x:v>
      </x:c>
      <x:c r="H111" t="n">
        <x:f>Trading_Raw!H111</x:f>
        <x:v>0.446851</x:v>
      </x:c>
      <x:c r="I111" t="n">
        <x:f>Trading_Raw!I111</x:f>
        <x:v>0.434995</x:v>
      </x:c>
      <x:c r="J111" t="n">
        <x:f>Trading_Raw!J111</x:f>
        <x:v>0.405433</x:v>
      </x:c>
      <x:c r="K111" t="n">
        <x:f>Trading_Raw!K111</x:f>
        <x:v>1000</x:v>
      </x:c>
      <x:c r="L111" t="n">
        <x:f>Trading_Raw!L111</x:f>
        <x:v>10</x:v>
      </x:c>
      <x:c r="M111" t="n">
        <x:f>Trading_Raw!M111</x:f>
        <x:v>8</x:v>
      </x:c>
      <x:c r="N111" t="str">
        <x:f>Trading_Raw!N111</x:f>
        <x:v>Trend continuation</x:v>
      </x:c>
      <x:c r="O111" t="str">
        <x:f>Trading_Raw!O111</x:f>
        <x:v>Oversized</x:v>
      </x:c>
      <x:c r="P111" s="76" t="n">
        <x:f>IF(F111="Long",(H111-G111)/G111*K111*L111,(G111-H111)/G111*K111*L111)-M111</x:f>
        <x:v>-433.85260348250904</x:v>
      </x:c>
      <x:c r="Q111" s="78" t="n">
        <x:f>P111/K111</x:f>
        <x:v>-0.43385260348250904</x:v>
      </x:c>
      <x:c r="R111" s="78" t="n">
        <x:f>IF(F111="Long",(G111-I111)/G111,(I111-G111)/G111)</x:f>
        <x:v>0.01492303995109651</x:v>
      </x:c>
      <x:c r="S111" s="78" t="n">
        <x:f>IF(F111="Long",(J111-G111)/G111,(G111-J111)/G111)</x:f>
        <x:v>0.05405052274970315</x:v>
      </x:c>
      <x:c r="T111" s="80" t="n">
        <x:f>IFERROR(P111/(K111*L111*R111),0)</x:f>
        <x:v>-2.9072669168230068</x:v>
      </x:c>
      <x:c r="U111" t="str">
        <x:f>IF(P111&gt;0,"Win",IF(P111&lt;0,"Loss","Breakeven"))</x:f>
        <x:v>Loss</x:v>
      </x:c>
      <x:c r="V111" s="76" t="n">
        <x:f>SUM($P$5:P111)</x:f>
        <x:v>-208.9647802915784</x:v>
      </x:c>
    </x:row>
    <x:row r="112">
      <x:c r="A112" t="n">
        <x:f>Trading_Raw!A112</x:f>
        <x:v>108</x:v>
      </x:c>
      <x:c r="B112" s="72" t="n">
        <x:f>Trading_Raw!B112</x:f>
        <x:v>46100.916666666664</x:v>
      </x:c>
      <x:c r="C112" t="str">
        <x:f>Trading_Raw!C112</x:f>
        <x:v>BNBUSDT</x:v>
      </x:c>
      <x:c r="D112" t="str">
        <x:f>Trading_Raw!D112</x:f>
        <x:v>Bybit</x:v>
      </x:c>
      <x:c r="E112" t="str">
        <x:f>Trading_Raw!E112</x:f>
        <x:v>3m</x:v>
      </x:c>
      <x:c r="F112" t="str">
        <x:f>Trading_Raw!F112</x:f>
        <x:v>Long</x:v>
      </x:c>
      <x:c r="G112" t="n">
        <x:f>Trading_Raw!G112</x:f>
        <x:v>660.213123</x:v>
      </x:c>
      <x:c r="H112" t="n">
        <x:f>Trading_Raw!H112</x:f>
        <x:v>644.005911</x:v>
      </x:c>
      <x:c r="I112" t="n">
        <x:f>Trading_Raw!I112</x:f>
        <x:v>652.724782</x:v>
      </x:c>
      <x:c r="J112" t="n">
        <x:f>Trading_Raw!J112</x:f>
        <x:v>674.603987</x:v>
      </x:c>
      <x:c r="K112" t="n">
        <x:f>Trading_Raw!K112</x:f>
        <x:v>750</x:v>
      </x:c>
      <x:c r="L112" t="n">
        <x:f>Trading_Raw!L112</x:f>
        <x:v>3</x:v>
      </x:c>
      <x:c r="M112" t="n">
        <x:f>Trading_Raw!M112</x:f>
        <x:v>1.8</x:v>
      </x:c>
      <x:c r="N112" t="str">
        <x:f>Trading_Raw!N112</x:f>
        <x:v>Range deviation</x:v>
      </x:c>
      <x:c r="O112" t="str">
        <x:f>Trading_Raw!O112</x:f>
        <x:v>Oversized</x:v>
      </x:c>
      <x:c r="P112" s="76" t="n">
        <x:f>IF(F112="Long",(H112-G112)/G112*K112*L112,(G112-H112)/G112*K112*L112)-M112</x:f>
        <x:v>-57.034023271603544</x:v>
      </x:c>
      <x:c r="Q112" s="78" t="n">
        <x:f>P112/K112</x:f>
        <x:v>-0.07604536436213806</x:v>
      </x:c>
      <x:c r="R112" s="78" t="n">
        <x:f>IF(F112="Long",(G112-I112)/G112,(I112-G112)/G112)</x:f>
        <x:v>0.01134230862599802</x:v>
      </x:c>
      <x:c r="S112" s="78" t="n">
        <x:f>IF(F112="Long",(J112-G112)/G112,(G112-J112)/G112)</x:f>
        <x:v>0.0217973007482918</x:v>
      </x:c>
      <x:c r="T112" s="80" t="n">
        <x:f>IFERROR(P112/(K112*L112*R112),0)</x:f>
        <x:v>-2.234858495145993</x:v>
      </x:c>
      <x:c r="U112" t="str">
        <x:f>IF(P112&gt;0,"Win",IF(P112&lt;0,"Loss","Breakeven"))</x:f>
        <x:v>Loss</x:v>
      </x:c>
      <x:c r="V112" s="76" t="n">
        <x:f>SUM($P$5:P112)</x:f>
        <x:v>-265.9988035631819</x:v>
      </x:c>
    </x:row>
    <x:row r="113">
      <x:c r="A113" t="n">
        <x:f>Trading_Raw!A113</x:f>
        <x:v>109</x:v>
      </x:c>
      <x:c r="B113" s="72" t="n">
        <x:f>Trading_Raw!B113</x:f>
        <x:v>46059.416666666664</x:v>
      </x:c>
      <x:c r="C113" t="str">
        <x:f>Trading_Raw!C113</x:f>
        <x:v>BTCUSDT</x:v>
      </x:c>
      <x:c r="D113" t="str">
        <x:f>Trading_Raw!D113</x:f>
        <x:v>Binance</x:v>
      </x:c>
      <x:c r="E113" t="str">
        <x:f>Trading_Raw!E113</x:f>
        <x:v>3m</x:v>
      </x:c>
      <x:c r="F113" t="str">
        <x:f>Trading_Raw!F113</x:f>
        <x:v>Short</x:v>
      </x:c>
      <x:c r="G113" t="n">
        <x:f>Trading_Raw!G113</x:f>
        <x:v>76485.547732</x:v>
      </x:c>
      <x:c r="H113" t="n">
        <x:f>Trading_Raw!H113</x:f>
        <x:v>76859.490228</x:v>
      </x:c>
      <x:c r="I113" t="n">
        <x:f>Trading_Raw!I113</x:f>
        <x:v>77436.155541</x:v>
      </x:c>
      <x:c r="J113" t="n">
        <x:f>Trading_Raw!J113</x:f>
        <x:v>74148.349307</x:v>
      </x:c>
      <x:c r="K113" t="n">
        <x:f>Trading_Raw!K113</x:f>
        <x:v>100</x:v>
      </x:c>
      <x:c r="L113" t="n">
        <x:f>Trading_Raw!L113</x:f>
        <x:v>2</x:v>
      </x:c>
      <x:c r="M113" t="n">
        <x:f>Trading_Raw!M113</x:f>
        <x:v>0.16</x:v>
      </x:c>
      <x:c r="N113" t="str">
        <x:f>Trading_Raw!N113</x:f>
        <x:v>VWAP reclaim</x:v>
      </x:c>
      <x:c r="O113" t="str">
        <x:f>Trading_Raw!O113</x:f>
        <x:v>Late entry</x:v>
      </x:c>
      <x:c r="P113" s="76" t="n">
        <x:f>IF(F113="Long",(H113-G113)/G113*K113*L113,(G113-H113)/G113*K113*L113)-M113</x:f>
        <x:v>-1.137812167365937</x:v>
      </x:c>
      <x:c r="Q113" s="78" t="n">
        <x:f>P113/K113</x:f>
        <x:v>-0.01137812167365937</x:v>
      </x:c>
      <x:c r="R113" s="78" t="n">
        <x:f>IF(F113="Long",(G113-I113)/G113,(I113-G113)/G113)</x:f>
        <x:v>0.012428593861037078</x:v>
      </x:c>
      <x:c r="S113" s="78" t="n">
        <x:f>IF(F113="Long",(J113-G113)/G113,(G113-J113)/G113)</x:f>
        <x:v>0.030557386255366685</x:v>
      </x:c>
      <x:c r="T113" s="80" t="n">
        <x:f>IFERROR(P113/(K113*L113*R113),0)</x:f>
        <x:v>-0.45773970092180427</x:v>
      </x:c>
      <x:c r="U113" t="str">
        <x:f>IF(P113&gt;0,"Win",IF(P113&lt;0,"Loss","Breakeven"))</x:f>
        <x:v>Loss</x:v>
      </x:c>
      <x:c r="V113" s="76" t="n">
        <x:f>SUM($P$5:P113)</x:f>
        <x:v>-267.1366157305479</x:v>
      </x:c>
    </x:row>
    <x:row r="114">
      <x:c r="A114" t="n">
        <x:f>Trading_Raw!A114</x:f>
        <x:v>110</x:v>
      </x:c>
      <x:c r="B114" s="72" t="n">
        <x:f>Trading_Raw!B114</x:f>
        <x:v>46025.375</x:v>
      </x:c>
      <x:c r="C114" t="str">
        <x:f>Trading_Raw!C114</x:f>
        <x:v>BNBUSDT</x:v>
      </x:c>
      <x:c r="D114" t="str">
        <x:f>Trading_Raw!D114</x:f>
        <x:v>OKX</x:v>
      </x:c>
      <x:c r="E114" t="str">
        <x:f>Trading_Raw!E114</x:f>
        <x:v>15m</x:v>
      </x:c>
      <x:c r="F114" t="str">
        <x:f>Trading_Raw!F114</x:f>
        <x:v>Long</x:v>
      </x:c>
      <x:c r="G114" t="n">
        <x:f>Trading_Raw!G114</x:f>
        <x:v>568.837097</x:v>
      </x:c>
      <x:c r="H114" t="n">
        <x:f>Trading_Raw!H114</x:f>
        <x:v>542.707117</x:v>
      </x:c>
      <x:c r="I114" t="n">
        <x:f>Trading_Raw!I114</x:f>
        <x:v>554.920553</x:v>
      </x:c>
      <x:c r="J114" t="n">
        <x:f>Trading_Raw!J114</x:f>
        <x:v>598.133765</x:v>
      </x:c>
      <x:c r="K114" t="n">
        <x:f>Trading_Raw!K114</x:f>
        <x:v>200</x:v>
      </x:c>
      <x:c r="L114" t="n">
        <x:f>Trading_Raw!L114</x:f>
        <x:v>2</x:v>
      </x:c>
      <x:c r="M114" t="n">
        <x:f>Trading_Raw!M114</x:f>
        <x:v>0.32</x:v>
      </x:c>
      <x:c r="N114" t="str">
        <x:f>Trading_Raw!N114</x:f>
        <x:v>Trend continuation</x:v>
      </x:c>
      <x:c r="O114" t="str">
        <x:f>Trading_Raw!O114</x:f>
        <x:v>Ignored funding</x:v>
      </x:c>
      <x:c r="P114" s="76" t="n">
        <x:f>IF(F114="Long",(H114-G114)/G114*K114*L114,(G114-H114)/G114*K114*L114)-M114</x:f>
        <x:v>-18.694314993032133</x:v>
      </x:c>
      <x:c r="Q114" s="78" t="n">
        <x:f>P114/K114</x:f>
        <x:v>-0.09347157496516066</x:v>
      </x:c>
      <x:c r="R114" s="78" t="n">
        <x:f>IF(F114="Long",(G114-I114)/G114,(I114-G114)/G114)</x:f>
        <x:v>0.024464902295217097</x:v>
      </x:c>
      <x:c r="S114" s="78" t="n">
        <x:f>IF(F114="Long",(J114-G114)/G114,(G114-J114)/G114)</x:f>
        <x:v>0.05150273805015229</x:v>
      </x:c>
      <x:c r="T114" s="80" t="n">
        <x:f>IFERROR(P114/(K114*L114*R114),0)</x:f>
        <x:v>-1.9103198091135318</x:v>
      </x:c>
      <x:c r="U114" t="str">
        <x:f>IF(P114&gt;0,"Win",IF(P114&lt;0,"Loss","Breakeven"))</x:f>
        <x:v>Loss</x:v>
      </x:c>
      <x:c r="V114" s="76" t="n">
        <x:f>SUM($P$5:P114)</x:f>
        <x:v>-285.83093072358</x:v>
      </x:c>
    </x:row>
    <x:row r="115">
      <x:c r="A115" t="n">
        <x:f>Trading_Raw!A115</x:f>
        <x:v>111</x:v>
      </x:c>
      <x:c r="B115" s="72" t="n">
        <x:f>Trading_Raw!B115</x:f>
        <x:v>46025.916666666664</x:v>
      </x:c>
      <x:c r="C115" t="str">
        <x:f>Trading_Raw!C115</x:f>
        <x:v>ETHUSDT</x:v>
      </x:c>
      <x:c r="D115" t="str">
        <x:f>Trading_Raw!D115</x:f>
        <x:v>Bybit</x:v>
      </x:c>
      <x:c r="E115" t="str">
        <x:f>Trading_Raw!E115</x:f>
        <x:v>1h</x:v>
      </x:c>
      <x:c r="F115" t="str">
        <x:f>Trading_Raw!F115</x:f>
        <x:v>Long</x:v>
      </x:c>
      <x:c r="G115" t="n">
        <x:f>Trading_Raw!G115</x:f>
        <x:v>2998.850149</x:v>
      </x:c>
      <x:c r="H115" t="n">
        <x:f>Trading_Raw!H115</x:f>
        <x:v>2843.944366</x:v>
      </x:c>
      <x:c r="I115" t="n">
        <x:f>Trading_Raw!I115</x:f>
        <x:v>2970.741722</x:v>
      </x:c>
      <x:c r="J115" t="n">
        <x:f>Trading_Raw!J115</x:f>
        <x:v>3055.774645</x:v>
      </x:c>
      <x:c r="K115" t="n">
        <x:f>Trading_Raw!K115</x:f>
        <x:v>200</x:v>
      </x:c>
      <x:c r="L115" t="n">
        <x:f>Trading_Raw!L115</x:f>
        <x:v>2</x:v>
      </x:c>
      <x:c r="M115" t="n">
        <x:f>Trading_Raw!M115</x:f>
        <x:v>0.32</x:v>
      </x:c>
      <x:c r="N115" t="str">
        <x:f>Trading_Raw!N115</x:f>
        <x:v>OB retest</x:v>
      </x:c>
      <x:c r="O115" t="str">
        <x:f>Trading_Raw!O115</x:f>
        <x:v>Ignored funding</x:v>
      </x:c>
      <x:c r="P115" s="76" t="n">
        <x:f>IF(F115="Long",(H115-G115)/G115*K115*L115,(G115-H115)/G115*K115*L115)-M115</x:f>
        <x:v>-20.982023816249008</x:v>
      </x:c>
      <x:c r="Q115" s="78" t="n">
        <x:f>P115/K115</x:f>
        <x:v>-0.10491011908124503</x:v>
      </x:c>
      <x:c r="R115" s="78" t="n">
        <x:f>IF(F115="Long",(G115-I115)/G115,(I115-G115)/G115)</x:f>
        <x:v>0.009373068210618238</x:v>
      </x:c>
      <x:c r="S115" s="78" t="n">
        <x:f>IF(F115="Long",(J115-G115)/G115,(G115-J115)/G115)</x:f>
        <x:v>0.01898210753177587</x:v>
      </x:c>
      <x:c r="T115" s="80" t="n">
        <x:f>IFERROR(P115/(K115*L115*R115),0)</x:f>
        <x:v>-5.596359523042737</x:v>
      </x:c>
      <x:c r="U115" t="str">
        <x:f>IF(P115&gt;0,"Win",IF(P115&lt;0,"Loss","Breakeven"))</x:f>
        <x:v>Loss</x:v>
      </x:c>
      <x:c r="V115" s="76" t="n">
        <x:f>SUM($P$5:P115)</x:f>
        <x:v>-306.81295453982904</x:v>
      </x:c>
    </x:row>
    <x:row r="116">
      <x:c r="A116" t="n">
        <x:f>Trading_Raw!A116</x:f>
        <x:v>112</x:v>
      </x:c>
      <x:c r="B116" s="72" t="n">
        <x:f>Trading_Raw!B116</x:f>
        <x:v>46121.333333333336</x:v>
      </x:c>
      <x:c r="C116" t="str">
        <x:f>Trading_Raw!C116</x:f>
        <x:v>FARTCOINUSDT</x:v>
      </x:c>
      <x:c r="D116" t="str">
        <x:f>Trading_Raw!D116</x:f>
        <x:v>Bybit</x:v>
      </x:c>
      <x:c r="E116" t="str">
        <x:f>Trading_Raw!E116</x:f>
        <x:v>1h</x:v>
      </x:c>
      <x:c r="F116" t="str">
        <x:f>Trading_Raw!F116</x:f>
        <x:v>Short</x:v>
      </x:c>
      <x:c r="G116" t="n">
        <x:f>Trading_Raw!G116</x:f>
        <x:v>0.13756</x:v>
      </x:c>
      <x:c r="H116" t="n">
        <x:f>Trading_Raw!H116</x:f>
        <x:v>0.138949</x:v>
      </x:c>
      <x:c r="I116" t="n">
        <x:f>Trading_Raw!I116</x:f>
        <x:v>0.140403</x:v>
      </x:c>
      <x:c r="J116" t="n">
        <x:f>Trading_Raw!J116</x:f>
        <x:v>0.130202</x:v>
      </x:c>
      <x:c r="K116" t="n">
        <x:f>Trading_Raw!K116</x:f>
        <x:v>150</x:v>
      </x:c>
      <x:c r="L116" t="n">
        <x:f>Trading_Raw!L116</x:f>
        <x:v>1</x:v>
      </x:c>
      <x:c r="M116" t="n">
        <x:f>Trading_Raw!M116</x:f>
        <x:v>0.12</x:v>
      </x:c>
      <x:c r="N116" t="str">
        <x:f>Trading_Raw!N116</x:f>
        <x:v>Liquidity sweep</x:v>
      </x:c>
      <x:c r="O116" t="str">
        <x:f>Trading_Raw!O116</x:f>
        <x:v>Late entry</x:v>
      </x:c>
      <x:c r="P116" s="76" t="n">
        <x:f>IF(F116="Long",(H116-G116)/G116*K116*L116,(G116-H116)/G116*K116*L116)-M116</x:f>
        <x:v>-1.6346118057574892</x:v>
      </x:c>
      <x:c r="Q116" s="78" t="n">
        <x:f>P116/K116</x:f>
        <x:v>-0.010897412038383262</x:v>
      </x:c>
      <x:c r="R116" s="78" t="n">
        <x:f>IF(F116="Long",(G116-I116)/G116,(I116-G116)/G116)</x:f>
        <x:v>0.020667345158476392</x:v>
      </x:c>
      <x:c r="S116" s="78" t="n">
        <x:f>IF(F116="Long",(J116-G116)/G116,(G116-J116)/G116)</x:f>
        <x:v>0.05348938644954911</x:v>
      </x:c>
      <x:c r="T116" s="80" t="n">
        <x:f>IFERROR(P116/(K116*L116*R116),0)</x:f>
        <x:v>-0.5272768202602865</x:v>
      </x:c>
      <x:c r="U116" t="str">
        <x:f>IF(P116&gt;0,"Win",IF(P116&lt;0,"Loss","Breakeven"))</x:f>
        <x:v>Loss</x:v>
      </x:c>
      <x:c r="V116" s="76" t="n">
        <x:f>SUM($P$5:P116)</x:f>
        <x:v>-308.44756634558655</x:v>
      </x:c>
    </x:row>
    <x:row r="117">
      <x:c r="A117" t="n">
        <x:f>Trading_Raw!A117</x:f>
        <x:v>113</x:v>
      </x:c>
      <x:c r="B117" s="72" t="n">
        <x:f>Trading_Raw!B117</x:f>
        <x:v>46051.333333333336</x:v>
      </x:c>
      <x:c r="C117" t="str">
        <x:f>Trading_Raw!C117</x:f>
        <x:v>FARTCOINUSDT</x:v>
      </x:c>
      <x:c r="D117" t="str">
        <x:f>Trading_Raw!D117</x:f>
        <x:v>Binance</x:v>
      </x:c>
      <x:c r="E117" t="str">
        <x:f>Trading_Raw!E117</x:f>
        <x:v>3m</x:v>
      </x:c>
      <x:c r="F117" t="str">
        <x:f>Trading_Raw!F117</x:f>
        <x:v>Short</x:v>
      </x:c>
      <x:c r="G117" t="n">
        <x:f>Trading_Raw!G117</x:f>
        <x:v>0.176054</x:v>
      </x:c>
      <x:c r="H117" t="n">
        <x:f>Trading_Raw!H117</x:f>
        <x:v>0.177971</x:v>
      </x:c>
      <x:c r="I117" t="n">
        <x:f>Trading_Raw!I117</x:f>
        <x:v>0.177868</x:v>
      </x:c>
      <x:c r="J117" t="n">
        <x:f>Trading_Raw!J117</x:f>
        <x:v>0.172452</x:v>
      </x:c>
      <x:c r="K117" t="n">
        <x:f>Trading_Raw!K117</x:f>
        <x:v>200</x:v>
      </x:c>
      <x:c r="L117" t="n">
        <x:f>Trading_Raw!L117</x:f>
        <x:v>1</x:v>
      </x:c>
      <x:c r="M117" t="n">
        <x:f>Trading_Raw!M117</x:f>
        <x:v>0.16</x:v>
      </x:c>
      <x:c r="N117" t="str">
        <x:f>Trading_Raw!N117</x:f>
        <x:v>CVD divergence</x:v>
      </x:c>
      <x:c r="O117" t="str">
        <x:f>Trading_Raw!O117</x:f>
        <x:v>Ignored funding</x:v>
      </x:c>
      <x:c r="P117" s="76" t="n">
        <x:f>IF(F117="Long",(H117-G117)/G117*K117*L117,(G117-H117)/G117*K117*L117)-M117</x:f>
        <x:v>-2.3377409203994253</x:v>
      </x:c>
      <x:c r="Q117" s="78" t="n">
        <x:f>P117/K117</x:f>
        <x:v>-0.011688704601997127</x:v>
      </x:c>
      <x:c r="R117" s="78" t="n">
        <x:f>IF(F117="Long",(G117-I117)/G117,(I117-G117)/G117)</x:f>
        <x:v>0.010303656832562794</x:v>
      </x:c>
      <x:c r="S117" s="78" t="n">
        <x:f>IF(F117="Long",(J117-G117)/G117,(G117-J117)/G117)</x:f>
        <x:v>0.020459631703908996</x:v>
      </x:c>
      <x:c r="T117" s="80" t="n">
        <x:f>IFERROR(P117/(K117*L117*R117),0)</x:f>
        <x:v>-1.1344229327453088</x:v>
      </x:c>
      <x:c r="U117" t="str">
        <x:f>IF(P117&gt;0,"Win",IF(P117&lt;0,"Loss","Breakeven"))</x:f>
        <x:v>Loss</x:v>
      </x:c>
      <x:c r="V117" s="76" t="n">
        <x:f>SUM($P$5:P117)</x:f>
        <x:v>-310.785307265986</x:v>
      </x:c>
    </x:row>
    <x:row r="118">
      <x:c r="A118" t="n">
        <x:f>Trading_Raw!A118</x:f>
        <x:v>114</x:v>
      </x:c>
      <x:c r="B118" s="72" t="n">
        <x:f>Trading_Raw!B118</x:f>
        <x:v>46125.958333333336</x:v>
      </x:c>
      <x:c r="C118" t="str">
        <x:f>Trading_Raw!C118</x:f>
        <x:v>ADAUSDT</x:v>
      </x:c>
      <x:c r="D118" t="str">
        <x:f>Trading_Raw!D118</x:f>
        <x:v>Binance</x:v>
      </x:c>
      <x:c r="E118" t="str">
        <x:f>Trading_Raw!E118</x:f>
        <x:v>3m</x:v>
      </x:c>
      <x:c r="F118" t="str">
        <x:f>Trading_Raw!F118</x:f>
        <x:v>Short</x:v>
      </x:c>
      <x:c r="G118" t="n">
        <x:f>Trading_Raw!G118</x:f>
        <x:v>0.53073</x:v>
      </x:c>
      <x:c r="H118" t="n">
        <x:f>Trading_Raw!H118</x:f>
        <x:v>0.520833</x:v>
      </x:c>
      <x:c r="I118" t="n">
        <x:f>Trading_Raw!I118</x:f>
        <x:v>0.537034</x:v>
      </x:c>
      <x:c r="J118" t="n">
        <x:f>Trading_Raw!J118</x:f>
        <x:v>0.508746</x:v>
      </x:c>
      <x:c r="K118" t="n">
        <x:f>Trading_Raw!K118</x:f>
        <x:v>1000</x:v>
      </x:c>
      <x:c r="L118" t="n">
        <x:f>Trading_Raw!L118</x:f>
        <x:v>2</x:v>
      </x:c>
      <x:c r="M118" t="n">
        <x:f>Trading_Raw!M118</x:f>
        <x:v>1.6</x:v>
      </x:c>
      <x:c r="N118" t="str">
        <x:f>Trading_Raw!N118</x:f>
        <x:v>Liquidity sweep</x:v>
      </x:c>
      <x:c r="O118" t="str">
        <x:f>Trading_Raw!O118</x:f>
        <x:v>Oversized</x:v>
      </x:c>
      <x:c r="P118" s="76" t="n">
        <x:f>IF(F118="Long",(H118-G118)/G118*K118*L118,(G118-H118)/G118*K118*L118)-M118</x:f>
        <x:v>35.69580012435718</x:v>
      </x:c>
      <x:c r="Q118" s="78" t="n">
        <x:f>P118/K118</x:f>
        <x:v>0.03569580012435718</x:v>
      </x:c>
      <x:c r="R118" s="78" t="n">
        <x:f>IF(F118="Long",(G118-I118)/G118,(I118-G118)/G118)</x:f>
        <x:v>0.011877979386882174</x:v>
      </x:c>
      <x:c r="S118" s="78" t="n">
        <x:f>IF(F118="Long",(J118-G118)/G118,(G118-J118)/G118)</x:f>
        <x:v>0.04142219207506642</x:v>
      </x:c>
      <x:c r="T118" s="80" t="n">
        <x:f>IFERROR(P118/(K118*L118*R118),0)</x:f>
        <x:v>1.502604060913718</x:v>
      </x:c>
      <x:c r="U118" t="str">
        <x:f>IF(P118&gt;0,"Win",IF(P118&lt;0,"Loss","Breakeven"))</x:f>
        <x:v>Win</x:v>
      </x:c>
      <x:c r="V118" s="76" t="n">
        <x:f>SUM($P$5:P118)</x:f>
        <x:v>-275.0895071416288</x:v>
      </x:c>
    </x:row>
    <x:row r="119">
      <x:c r="A119" t="n">
        <x:f>Trading_Raw!A119</x:f>
        <x:v>115</x:v>
      </x:c>
      <x:c r="B119" s="72" t="n">
        <x:f>Trading_Raw!B119</x:f>
        <x:v>46100.75</x:v>
      </x:c>
      <x:c r="C119" t="str">
        <x:f>Trading_Raw!C119</x:f>
        <x:v>BNBUSDT</x:v>
      </x:c>
      <x:c r="D119" t="str">
        <x:f>Trading_Raw!D119</x:f>
        <x:v>Binance</x:v>
      </x:c>
      <x:c r="E119" t="str">
        <x:f>Trading_Raw!E119</x:f>
        <x:v>1h</x:v>
      </x:c>
      <x:c r="F119" t="str">
        <x:f>Trading_Raw!F119</x:f>
        <x:v>Long</x:v>
      </x:c>
      <x:c r="G119" t="n">
        <x:f>Trading_Raw!G119</x:f>
        <x:v>505.881638</x:v>
      </x:c>
      <x:c r="H119" t="n">
        <x:f>Trading_Raw!H119</x:f>
        <x:v>513.449663</x:v>
      </x:c>
      <x:c r="I119" t="n">
        <x:f>Trading_Raw!I119</x:f>
        <x:v>493.891252</x:v>
      </x:c>
      <x:c r="J119" t="n">
        <x:f>Trading_Raw!J119</x:f>
        <x:v>513.788691</x:v>
      </x:c>
      <x:c r="K119" t="n">
        <x:f>Trading_Raw!K119</x:f>
        <x:v>300</x:v>
      </x:c>
      <x:c r="L119" t="n">
        <x:f>Trading_Raw!L119</x:f>
        <x:v>3</x:v>
      </x:c>
      <x:c r="M119" t="n">
        <x:f>Trading_Raw!M119</x:f>
        <x:v>0.72</x:v>
      </x:c>
      <x:c r="N119" t="str">
        <x:f>Trading_Raw!N119</x:f>
        <x:v>VWAP reclaim</x:v>
      </x:c>
      <x:c r="O119" t="str">
        <x:f>Trading_Raw!O119</x:f>
        <x:v>None</x:v>
      </x:c>
      <x:c r="P119" s="76" t="n">
        <x:f>IF(F119="Long",(H119-G119)/G119*K119*L119,(G119-H119)/G119*K119*L119)-M119</x:f>
        <x:v>12.744063504910175</x:v>
      </x:c>
      <x:c r="Q119" s="78" t="n">
        <x:f>P119/K119</x:f>
        <x:v>0.04248021168303392</x:v>
      </x:c>
      <x:c r="R119" s="78" t="n">
        <x:f>IF(F119="Long",(G119-I119)/G119,(I119-G119)/G119)</x:f>
        <x:v>0.023701959310885288</x:v>
      </x:c>
      <x:c r="S119" s="78" t="n">
        <x:f>IF(F119="Long",(J119-G119)/G119,(G119-J119)/G119)</x:f>
        <x:v>0.01563024313604354</x:v>
      </x:c>
      <x:c r="T119" s="80" t="n">
        <x:f>IFERROR(P119/(K119*L119*R119),0)</x:f>
        <x:v>0.5974219420125405</x:v>
      </x:c>
      <x:c r="U119" t="str">
        <x:f>IF(P119&gt;0,"Win",IF(P119&lt;0,"Loss","Breakeven"))</x:f>
        <x:v>Win</x:v>
      </x:c>
      <x:c r="V119" s="76" t="n">
        <x:f>SUM($P$5:P119)</x:f>
        <x:v>-262.34544363671864</x:v>
      </x:c>
    </x:row>
    <x:row r="120">
      <x:c r="A120" t="n">
        <x:f>Trading_Raw!A120</x:f>
        <x:v>116</x:v>
      </x:c>
      <x:c r="B120" s="72" t="n">
        <x:f>Trading_Raw!B120</x:f>
        <x:v>46026.208333333336</x:v>
      </x:c>
      <x:c r="C120" t="str">
        <x:f>Trading_Raw!C120</x:f>
        <x:v>SOLUSDT</x:v>
      </x:c>
      <x:c r="D120" t="str">
        <x:f>Trading_Raw!D120</x:f>
        <x:v>Bybit</x:v>
      </x:c>
      <x:c r="E120" t="str">
        <x:f>Trading_Raw!E120</x:f>
        <x:v>15m</x:v>
      </x:c>
      <x:c r="F120" t="str">
        <x:f>Trading_Raw!F120</x:f>
        <x:v>Long</x:v>
      </x:c>
      <x:c r="G120" t="n">
        <x:f>Trading_Raw!G120</x:f>
        <x:v>160.141154</x:v>
      </x:c>
      <x:c r="H120" t="n">
        <x:f>Trading_Raw!H120</x:f>
        <x:v>165.035164</x:v>
      </x:c>
      <x:c r="I120" t="n">
        <x:f>Trading_Raw!I120</x:f>
        <x:v>157.320219</x:v>
      </x:c>
      <x:c r="J120" t="n">
        <x:f>Trading_Raw!J120</x:f>
        <x:v>164.047084</x:v>
      </x:c>
      <x:c r="K120" t="n">
        <x:f>Trading_Raw!K120</x:f>
        <x:v>150</x:v>
      </x:c>
      <x:c r="L120" t="n">
        <x:f>Trading_Raw!L120</x:f>
        <x:v>10</x:v>
      </x:c>
      <x:c r="M120" t="n">
        <x:f>Trading_Raw!M120</x:f>
        <x:v>1.2</x:v>
      </x:c>
      <x:c r="N120" t="str">
        <x:f>Trading_Raw!N120</x:f>
        <x:v>CVD divergence</x:v>
      </x:c>
      <x:c r="O120" t="str">
        <x:f>Trading_Raw!O120</x:f>
        <x:v>Moved SL</x:v>
      </x:c>
      <x:c r="P120" s="76" t="n">
        <x:f>IF(F120="Long",(H120-G120)/G120*K120*L120,(G120-H120)/G120*K120*L120)-M120</x:f>
        <x:v>44.640902332950674</x:v>
      </x:c>
      <x:c r="Q120" s="78" t="n">
        <x:f>P120/K120</x:f>
        <x:v>0.2976060155530045</x:v>
      </x:c>
      <x:c r="R120" s="78" t="n">
        <x:f>IF(F120="Long",(G120-I120)/G120,(I120-G120)/G120)</x:f>
        <x:v>0.017615303309229252</x:v>
      </x:c>
      <x:c r="S120" s="78" t="n">
        <x:f>IF(F120="Long",(J120-G120)/G120,(G120-J120)/G120)</x:f>
        <x:v>0.024390544856445907</x:v>
      </x:c>
      <x:c r="T120" s="80" t="n">
        <x:f>IFERROR(P120/(K120*L120*R120),0)</x:f>
        <x:v>1.689474261831635</x:v>
      </x:c>
      <x:c r="U120" t="str">
        <x:f>IF(P120&gt;0,"Win",IF(P120&lt;0,"Loss","Breakeven"))</x:f>
        <x:v>Win</x:v>
      </x:c>
      <x:c r="V120" s="76" t="n">
        <x:f>SUM($P$5:P120)</x:f>
        <x:v>-217.70454130376797</x:v>
      </x:c>
    </x:row>
    <x:row r="121">
      <x:c r="A121" t="n">
        <x:f>Trading_Raw!A121</x:f>
        <x:v>117</x:v>
      </x:c>
      <x:c r="B121" s="72" t="n">
        <x:f>Trading_Raw!B121</x:f>
        <x:v>46024.125</x:v>
      </x:c>
      <x:c r="C121" t="str">
        <x:f>Trading_Raw!C121</x:f>
        <x:v>ETHUSDT</x:v>
      </x:c>
      <x:c r="D121" t="str">
        <x:f>Trading_Raw!D121</x:f>
        <x:v>Bybit</x:v>
      </x:c>
      <x:c r="E121" t="str">
        <x:f>Trading_Raw!E121</x:f>
        <x:v>1h</x:v>
      </x:c>
      <x:c r="F121" t="str">
        <x:f>Trading_Raw!F121</x:f>
        <x:v>Long</x:v>
      </x:c>
      <x:c r="G121" t="n">
        <x:f>Trading_Raw!G121</x:f>
        <x:v>3852.963828</x:v>
      </x:c>
      <x:c r="H121" t="n">
        <x:f>Trading_Raw!H121</x:f>
        <x:v>3801.12482</x:v>
      </x:c>
      <x:c r="I121" t="n">
        <x:f>Trading_Raw!I121</x:f>
        <x:v>3769.317973</x:v>
      </x:c>
      <x:c r="J121" t="n">
        <x:f>Trading_Raw!J121</x:f>
        <x:v>3994.774844</x:v>
      </x:c>
      <x:c r="K121" t="n">
        <x:f>Trading_Raw!K121</x:f>
        <x:v>150</x:v>
      </x:c>
      <x:c r="L121" t="n">
        <x:f>Trading_Raw!L121</x:f>
        <x:v>5</x:v>
      </x:c>
      <x:c r="M121" t="n">
        <x:f>Trading_Raw!M121</x:f>
        <x:v>0.6</x:v>
      </x:c>
      <x:c r="N121" t="str">
        <x:f>Trading_Raw!N121</x:f>
        <x:v>VWAP reclaim</x:v>
      </x:c>
      <x:c r="O121" t="str">
        <x:f>Trading_Raw!O121</x:f>
        <x:v>Ignored funding</x:v>
      </x:c>
      <x:c r="P121" s="76" t="n">
        <x:f>IF(F121="Long",(H121-G121)/G121*K121*L121,(G121-H121)/G121*K121*L121)-M121</x:f>
        <x:v>-10.690739943484344</x:v>
      </x:c>
      <x:c r="Q121" s="78" t="n">
        <x:f>P121/K121</x:f>
        <x:v>-0.07127159962322896</x:v>
      </x:c>
      <x:c r="R121" s="78" t="n">
        <x:f>IF(F121="Long",(G121-I121)/G121,(I121-G121)/G121)</x:f>
        <x:v>0.021709483590822788</x:v>
      </x:c>
      <x:c r="S121" s="78" t="n">
        <x:f>IF(F121="Long",(J121-G121)/G121,(G121-J121)/G121)</x:f>
        <x:v>0.036805696168087695</x:v>
      </x:c>
      <x:c r="T121" s="80" t="n">
        <x:f>IFERROR(P121/(K121*L121*R121),0)</x:f>
        <x:v>-0.6565941499719272</x:v>
      </x:c>
      <x:c r="U121" t="str">
        <x:f>IF(P121&gt;0,"Win",IF(P121&lt;0,"Loss","Breakeven"))</x:f>
        <x:v>Loss</x:v>
      </x:c>
      <x:c r="V121" s="76" t="n">
        <x:f>SUM($P$5:P121)</x:f>
        <x:v>-228.3952812472523</x:v>
      </x:c>
    </x:row>
    <x:row r="122">
      <x:c r="A122" t="n">
        <x:f>Trading_Raw!A122</x:f>
        <x:v>118</x:v>
      </x:c>
      <x:c r="B122" s="72" t="n">
        <x:f>Trading_Raw!B122</x:f>
        <x:v>46116.125</x:v>
      </x:c>
      <x:c r="C122" t="str">
        <x:f>Trading_Raw!C122</x:f>
        <x:v>XRPUSDT</x:v>
      </x:c>
      <x:c r="D122" t="str">
        <x:f>Trading_Raw!D122</x:f>
        <x:v>OKX</x:v>
      </x:c>
      <x:c r="E122" t="str">
        <x:f>Trading_Raw!E122</x:f>
        <x:v>1h</x:v>
      </x:c>
      <x:c r="F122" t="str">
        <x:f>Trading_Raw!F122</x:f>
        <x:v>Long</x:v>
      </x:c>
      <x:c r="G122" t="n">
        <x:f>Trading_Raw!G122</x:f>
        <x:v>0.475243</x:v>
      </x:c>
      <x:c r="H122" t="n">
        <x:f>Trading_Raw!H122</x:f>
        <x:v>0.478393</x:v>
      </x:c>
      <x:c r="I122" t="n">
        <x:f>Trading_Raw!I122</x:f>
        <x:v>0.470047</x:v>
      </x:c>
      <x:c r="J122" t="n">
        <x:f>Trading_Raw!J122</x:f>
        <x:v>0.491874</x:v>
      </x:c>
      <x:c r="K122" t="n">
        <x:f>Trading_Raw!K122</x:f>
        <x:v>100</x:v>
      </x:c>
      <x:c r="L122" t="n">
        <x:f>Trading_Raw!L122</x:f>
        <x:v>10</x:v>
      </x:c>
      <x:c r="M122" t="n">
        <x:f>Trading_Raw!M122</x:f>
        <x:v>0.8</x:v>
      </x:c>
      <x:c r="N122" t="str">
        <x:f>Trading_Raw!N122</x:f>
        <x:v>Liquidity sweep</x:v>
      </x:c>
      <x:c r="O122" t="str">
        <x:f>Trading_Raw!O122</x:f>
        <x:v>Oversized</x:v>
      </x:c>
      <x:c r="P122" s="76" t="n">
        <x:f>IF(F122="Long",(H122-G122)/G122*K122*L122,(G122-H122)/G122*K122*L122)-M122</x:f>
        <x:v>5.828188105874228</x:v>
      </x:c>
      <x:c r="Q122" s="78" t="n">
        <x:f>P122/K122</x:f>
        <x:v>0.05828188105874228</x:v>
      </x:c>
      <x:c r="R122" s="78" t="n">
        <x:f>IF(F122="Long",(G122-I122)/G122,(I122-G122)/G122)</x:f>
        <x:v>0.01093335409464218</x:v>
      </x:c>
      <x:c r="S122" s="78" t="n">
        <x:f>IF(F122="Long",(J122-G122)/G122,(G122-J122)/G122)</x:f>
        <x:v>0.0349947290123157</x:v>
      </x:c>
      <x:c r="T122" s="80" t="n">
        <x:f>IFERROR(P122/(K122*L122*R122),0)</x:f>
        <x:v>0.5330649730561909</x:v>
      </x:c>
      <x:c r="U122" t="str">
        <x:f>IF(P122&gt;0,"Win",IF(P122&lt;0,"Loss","Breakeven"))</x:f>
        <x:v>Win</x:v>
      </x:c>
      <x:c r="V122" s="76" t="n">
        <x:f>SUM($P$5:P122)</x:f>
        <x:v>-222.56709314137808</x:v>
      </x:c>
    </x:row>
    <x:row r="123">
      <x:c r="A123" t="n">
        <x:f>Trading_Raw!A123</x:f>
        <x:v>119</x:v>
      </x:c>
      <x:c r="B123" s="72" t="n">
        <x:f>Trading_Raw!B123</x:f>
        <x:v>46126.791666666664</x:v>
      </x:c>
      <x:c r="C123" t="str">
        <x:f>Trading_Raw!C123</x:f>
        <x:v>SOLUSDT</x:v>
      </x:c>
      <x:c r="D123" t="str">
        <x:f>Trading_Raw!D123</x:f>
        <x:v>OKX</x:v>
      </x:c>
      <x:c r="E123" t="str">
        <x:f>Trading_Raw!E123</x:f>
        <x:v>5m</x:v>
      </x:c>
      <x:c r="F123" t="str">
        <x:f>Trading_Raw!F123</x:f>
        <x:v>Long</x:v>
      </x:c>
      <x:c r="G123" t="n">
        <x:f>Trading_Raw!G123</x:f>
        <x:v>155.202775</x:v>
      </x:c>
      <x:c r="H123" t="n">
        <x:f>Trading_Raw!H123</x:f>
        <x:v>154.342354</x:v>
      </x:c>
      <x:c r="I123" t="n">
        <x:f>Trading_Raw!I123</x:f>
        <x:v>151.681993</x:v>
      </x:c>
      <x:c r="J123" t="n">
        <x:f>Trading_Raw!J123</x:f>
        <x:v>163.447487</x:v>
      </x:c>
      <x:c r="K123" t="n">
        <x:f>Trading_Raw!K123</x:f>
        <x:v>1000</x:v>
      </x:c>
      <x:c r="L123" t="n">
        <x:f>Trading_Raw!L123</x:f>
        <x:v>5</x:v>
      </x:c>
      <x:c r="M123" t="n">
        <x:f>Trading_Raw!M123</x:f>
        <x:v>4</x:v>
      </x:c>
      <x:c r="N123" t="str">
        <x:f>Trading_Raw!N123</x:f>
        <x:v>Liquidity sweep</x:v>
      </x:c>
      <x:c r="O123" t="str">
        <x:f>Trading_Raw!O123</x:f>
        <x:v>None</x:v>
      </x:c>
      <x:c r="P123" s="76" t="n">
        <x:f>IF(F123="Long",(H123-G123)/G123*K123*L123,(G123-H123)/G123*K123*L123)-M123</x:f>
        <x:v>-31.719253086808603</x:v>
      </x:c>
      <x:c r="Q123" s="78" t="n">
        <x:f>P123/K123</x:f>
        <x:v>-0.031719253086808605</x:v>
      </x:c>
      <x:c r="R123" s="78" t="n">
        <x:f>IF(F123="Long",(G123-I123)/G123,(I123-G123)/G123)</x:f>
        <x:v>0.02268504541880773</x:v>
      </x:c>
      <x:c r="S123" s="78" t="n">
        <x:f>IF(F123="Long",(J123-G123)/G123,(G123-J123)/G123)</x:f>
        <x:v>0.05312219449684449</x:v>
      </x:c>
      <x:c r="T123" s="80" t="n">
        <x:f>IFERROR(P123/(K123*L123*R123),0)</x:f>
        <x:v>-0.279649015474404</x:v>
      </x:c>
      <x:c r="U123" t="str">
        <x:f>IF(P123&gt;0,"Win",IF(P123&lt;0,"Loss","Breakeven"))</x:f>
        <x:v>Loss</x:v>
      </x:c>
      <x:c r="V123" s="76" t="n">
        <x:f>SUM($P$5:P123)</x:f>
        <x:v>-254.2863462281867</x:v>
      </x:c>
    </x:row>
    <x:row r="124">
      <x:c r="A124" t="n">
        <x:f>Trading_Raw!A124</x:f>
        <x:v>120</x:v>
      </x:c>
      <x:c r="B124" s="72" t="n">
        <x:f>Trading_Raw!B124</x:f>
        <x:v>46085.916666666664</x:v>
      </x:c>
      <x:c r="C124" t="str">
        <x:f>Trading_Raw!C124</x:f>
        <x:v>SOLUSDT</x:v>
      </x:c>
      <x:c r="D124" t="str">
        <x:f>Trading_Raw!D124</x:f>
        <x:v>Bybit</x:v>
      </x:c>
      <x:c r="E124" t="str">
        <x:f>Trading_Raw!E124</x:f>
        <x:v>15m</x:v>
      </x:c>
      <x:c r="F124" t="str">
        <x:f>Trading_Raw!F124</x:f>
        <x:v>Short</x:v>
      </x:c>
      <x:c r="G124" t="n">
        <x:f>Trading_Raw!G124</x:f>
        <x:v>127.656374</x:v>
      </x:c>
      <x:c r="H124" t="n">
        <x:f>Trading_Raw!H124</x:f>
        <x:v>129.922343</x:v>
      </x:c>
      <x:c r="I124" t="n">
        <x:f>Trading_Raw!I124</x:f>
        <x:v>129.952828</x:v>
      </x:c>
      <x:c r="J124" t="n">
        <x:f>Trading_Raw!J124</x:f>
        <x:v>123.146314</x:v>
      </x:c>
      <x:c r="K124" t="n">
        <x:f>Trading_Raw!K124</x:f>
        <x:v>250</x:v>
      </x:c>
      <x:c r="L124" t="n">
        <x:f>Trading_Raw!L124</x:f>
        <x:v>1</x:v>
      </x:c>
      <x:c r="M124" t="n">
        <x:f>Trading_Raw!M124</x:f>
        <x:v>0.2</x:v>
      </x:c>
      <x:c r="N124" t="str">
        <x:f>Trading_Raw!N124</x:f>
        <x:v>Trend continuation</x:v>
      </x:c>
      <x:c r="O124" t="str">
        <x:f>Trading_Raw!O124</x:f>
        <x:v>Ignored funding</x:v>
      </x:c>
      <x:c r="P124" s="76" t="n">
        <x:f>IF(F124="Long",(H124-G124)/G124*K124*L124,(G124-H124)/G124*K124*L124)-M124</x:f>
        <x:v>-4.637633877960557</x:v>
      </x:c>
      <x:c r="Q124" s="78" t="n">
        <x:f>P124/K124</x:f>
        <x:v>-0.018550535511842228</x:v>
      </x:c>
      <x:c r="R124" s="78" t="n">
        <x:f>IF(F124="Long",(G124-I124)/G124,(I124-G124)/G124)</x:f>
        <x:v>0.017989340665433683</x:v>
      </x:c>
      <x:c r="S124" s="78" t="n">
        <x:f>IF(F124="Long",(J124-G124)/G124,(G124-J124)/G124)</x:f>
        <x:v>0.03532968906041461</x:v>
      </x:c>
      <x:c r="T124" s="80" t="n">
        <x:f>IFERROR(P124/(K124*L124*R124),0)</x:f>
        <x:v>-1.0311959652577414</x:v>
      </x:c>
      <x:c r="U124" t="str">
        <x:f>IF(P124&gt;0,"Win",IF(P124&lt;0,"Loss","Breakeven"))</x:f>
        <x:v>Loss</x:v>
      </x:c>
      <x:c r="V124" s="76" t="n">
        <x:f>SUM($P$5:P124)</x:f>
        <x:v>-258.92398010614727</x:v>
      </x:c>
    </x:row>
    <x:row r="125">
      <x:c r="A125" t="n">
        <x:f>Trading_Raw!A125</x:f>
        <x:v>121</x:v>
      </x:c>
      <x:c r="B125" s="72" t="n">
        <x:f>Trading_Raw!B125</x:f>
        <x:v>46118.916666666664</x:v>
      </x:c>
      <x:c r="C125" t="str">
        <x:f>Trading_Raw!C125</x:f>
        <x:v>BNBUSDT</x:v>
      </x:c>
      <x:c r="D125" t="str">
        <x:f>Trading_Raw!D125</x:f>
        <x:v>Bybit</x:v>
      </x:c>
      <x:c r="E125" t="str">
        <x:f>Trading_Raw!E125</x:f>
        <x:v>5m</x:v>
      </x:c>
      <x:c r="F125" t="str">
        <x:f>Trading_Raw!F125</x:f>
        <x:v>Long</x:v>
      </x:c>
      <x:c r="G125" t="n">
        <x:f>Trading_Raw!G125</x:f>
        <x:v>587.482201</x:v>
      </x:c>
      <x:c r="H125" t="n">
        <x:f>Trading_Raw!H125</x:f>
        <x:v>575.366504</x:v>
      </x:c>
      <x:c r="I125" t="n">
        <x:f>Trading_Raw!I125</x:f>
        <x:v>575.667559</x:v>
      </x:c>
      <x:c r="J125" t="n">
        <x:f>Trading_Raw!J125</x:f>
        <x:v>617.216452</x:v>
      </x:c>
      <x:c r="K125" t="n">
        <x:f>Trading_Raw!K125</x:f>
        <x:v>750</x:v>
      </x:c>
      <x:c r="L125" t="n">
        <x:f>Trading_Raw!L125</x:f>
        <x:v>3</x:v>
      </x:c>
      <x:c r="M125" t="n">
        <x:f>Trading_Raw!M125</x:f>
        <x:v>1.8</x:v>
      </x:c>
      <x:c r="N125" t="str">
        <x:f>Trading_Raw!N125</x:f>
        <x:v>Range deviation</x:v>
      </x:c>
      <x:c r="O125" t="str">
        <x:f>Trading_Raw!O125</x:f>
        <x:v>Late entry</x:v>
      </x:c>
      <x:c r="P125" s="76" t="n">
        <x:f>IF(F125="Long",(H125-G125)/G125*K125*L125,(G125-H125)/G125*K125*L125)-M125</x:f>
        <x:v>-48.20194750342768</x:v>
      </x:c>
      <x:c r="Q125" s="78" t="n">
        <x:f>P125/K125</x:f>
        <x:v>-0.06426926333790357</x:v>
      </x:c>
      <x:c r="R125" s="78" t="n">
        <x:f>IF(F125="Long",(G125-I125)/G125,(I125-G125)/G125)</x:f>
        <x:v>0.02011063821148864</x:v>
      </x:c>
      <x:c r="S125" s="78" t="n">
        <x:f>IF(F125="Long",(J125-G125)/G125,(G125-J125)/G125)</x:f>
        <x:v>0.050613024444633295</x:v>
      </x:c>
      <x:c r="T125" s="80" t="n">
        <x:f>IFERROR(P125/(K125*L125*R125),0)</x:f>
        <x:v>-1.065261457841889</x:v>
      </x:c>
      <x:c r="U125" t="str">
        <x:f>IF(P125&gt;0,"Win",IF(P125&lt;0,"Loss","Breakeven"))</x:f>
        <x:v>Loss</x:v>
      </x:c>
      <x:c r="V125" s="76" t="n">
        <x:f>SUM($P$5:P125)</x:f>
        <x:v>-307.12592760957494</x:v>
      </x:c>
    </x:row>
    <x:row r="126">
      <x:c r="A126" t="n">
        <x:f>Trading_Raw!A126</x:f>
        <x:v>122</x:v>
      </x:c>
      <x:c r="B126" s="72" t="n">
        <x:f>Trading_Raw!B126</x:f>
        <x:v>46113.333333333336</x:v>
      </x:c>
      <x:c r="C126" t="str">
        <x:f>Trading_Raw!C126</x:f>
        <x:v>ADAUSDT</x:v>
      </x:c>
      <x:c r="D126" t="str">
        <x:f>Trading_Raw!D126</x:f>
        <x:v>Binance</x:v>
      </x:c>
      <x:c r="E126" t="str">
        <x:f>Trading_Raw!E126</x:f>
        <x:v>5m</x:v>
      </x:c>
      <x:c r="F126" t="str">
        <x:f>Trading_Raw!F126</x:f>
        <x:v>Long</x:v>
      </x:c>
      <x:c r="G126" t="n">
        <x:f>Trading_Raw!G126</x:f>
        <x:v>0.49043</x:v>
      </x:c>
      <x:c r="H126" t="n">
        <x:f>Trading_Raw!H126</x:f>
        <x:v>0.474372</x:v>
      </x:c>
      <x:c r="I126" t="n">
        <x:f>Trading_Raw!I126</x:f>
        <x:v>0.482054</x:v>
      </x:c>
      <x:c r="J126" t="n">
        <x:f>Trading_Raw!J126</x:f>
        <x:v>0.506393</x:v>
      </x:c>
      <x:c r="K126" t="n">
        <x:f>Trading_Raw!K126</x:f>
        <x:v>500</x:v>
      </x:c>
      <x:c r="L126" t="n">
        <x:f>Trading_Raw!L126</x:f>
        <x:v>1</x:v>
      </x:c>
      <x:c r="M126" t="n">
        <x:f>Trading_Raw!M126</x:f>
        <x:v>0.4</x:v>
      </x:c>
      <x:c r="N126" t="str">
        <x:f>Trading_Raw!N126</x:f>
        <x:v>Range deviation</x:v>
      </x:c>
      <x:c r="O126" t="str">
        <x:f>Trading_Raw!O126</x:f>
        <x:v>No HTF confirmation</x:v>
      </x:c>
      <x:c r="P126" s="76" t="n">
        <x:f>IF(F126="Long",(H126-G126)/G126*K126*L126,(G126-H126)/G126*K126*L126)-M126</x:f>
        <x:v>-16.771347592928617</x:v>
      </x:c>
      <x:c r="Q126" s="78" t="n">
        <x:f>P126/K126</x:f>
        <x:v>-0.03354269518585724</x:v>
      </x:c>
      <x:c r="R126" s="78" t="n">
        <x:f>IF(F126="Long",(G126-I126)/G126,(I126-G126)/G126)</x:f>
        <x:v>0.017078889953714076</x:v>
      </x:c>
      <x:c r="S126" s="78" t="n">
        <x:f>IF(F126="Long",(J126-G126)/G126,(G126-J126)/G126)</x:f>
        <x:v>0.03254898762310626</x:v>
      </x:c>
      <x:c r="T126" s="80" t="n">
        <x:f>IFERROR(P126/(K126*L126*R126),0)</x:f>
        <x:v>-1.9639856733524326</x:v>
      </x:c>
      <x:c r="U126" t="str">
        <x:f>IF(P126&gt;0,"Win",IF(P126&lt;0,"Loss","Breakeven"))</x:f>
        <x:v>Loss</x:v>
      </x:c>
      <x:c r="V126" s="76" t="n">
        <x:f>SUM($P$5:P126)</x:f>
        <x:v>-323.8972752025036</x:v>
      </x:c>
    </x:row>
    <x:row r="127">
      <x:c r="A127" t="n">
        <x:f>Trading_Raw!A127</x:f>
        <x:v>123</x:v>
      </x:c>
      <x:c r="B127" s="72" t="n">
        <x:f>Trading_Raw!B127</x:f>
        <x:v>46153.583333333336</x:v>
      </x:c>
      <x:c r="C127" t="str">
        <x:f>Trading_Raw!C127</x:f>
        <x:v>WLFIUSDT</x:v>
      </x:c>
      <x:c r="D127" t="str">
        <x:f>Trading_Raw!D127</x:f>
        <x:v>OKX</x:v>
      </x:c>
      <x:c r="E127" t="str">
        <x:f>Trading_Raw!E127</x:f>
        <x:v>3m</x:v>
      </x:c>
      <x:c r="F127" t="str">
        <x:f>Trading_Raw!F127</x:f>
        <x:v>Long</x:v>
      </x:c>
      <x:c r="G127" t="n">
        <x:f>Trading_Raw!G127</x:f>
        <x:v>0.062797</x:v>
      </x:c>
      <x:c r="H127" t="n">
        <x:f>Trading_Raw!H127</x:f>
        <x:v>0.06323</x:v>
      </x:c>
      <x:c r="I127" t="n">
        <x:f>Trading_Raw!I127</x:f>
        <x:v>0.061814</x:v>
      </x:c>
      <x:c r="J127" t="n">
        <x:f>Trading_Raw!J127</x:f>
        <x:v>0.064939</x:v>
      </x:c>
      <x:c r="K127" t="n">
        <x:f>Trading_Raw!K127</x:f>
        <x:v>500</x:v>
      </x:c>
      <x:c r="L127" t="n">
        <x:f>Trading_Raw!L127</x:f>
        <x:v>1</x:v>
      </x:c>
      <x:c r="M127" t="n">
        <x:f>Trading_Raw!M127</x:f>
        <x:v>0.4</x:v>
      </x:c>
      <x:c r="N127" t="str">
        <x:f>Trading_Raw!N127</x:f>
        <x:v>CVD divergence</x:v>
      </x:c>
      <x:c r="O127" t="str">
        <x:f>Trading_Raw!O127</x:f>
        <x:v>Oversized</x:v>
      </x:c>
      <x:c r="P127" s="76" t="n">
        <x:f>IF(F127="Long",(H127-G127)/G127*K127*L127,(G127-H127)/G127*K127*L127)-M127</x:f>
        <x:v>3.04761692437528</x:v>
      </x:c>
      <x:c r="Q127" s="78" t="n">
        <x:f>P127/K127</x:f>
        <x:v>0.00609523384875056</x:v>
      </x:c>
      <x:c r="R127" s="78" t="n">
        <x:f>IF(F127="Long",(G127-I127)/G127,(I127-G127)/G127)</x:f>
        <x:v>0.01565361402614782</x:v>
      </x:c>
      <x:c r="S127" s="78" t="n">
        <x:f>IF(F127="Long",(J127-G127)/G127,(G127-J127)/G127)</x:f>
        <x:v>0.03410990970906239</x:v>
      </x:c>
      <x:c r="T127" s="80" t="n">
        <x:f>IFERROR(P127/(K127*L127*R127),0)</x:f>
        <x:v>0.3893818921668231</x:v>
      </x:c>
      <x:c r="U127" t="str">
        <x:f>IF(P127&gt;0,"Win",IF(P127&lt;0,"Loss","Breakeven"))</x:f>
        <x:v>Win</x:v>
      </x:c>
      <x:c r="V127" s="76" t="n">
        <x:f>SUM($P$5:P127)</x:f>
        <x:v>-320.8496582781283</x:v>
      </x:c>
    </x:row>
    <x:row r="128">
      <x:c r="A128" t="n">
        <x:f>Trading_Raw!A128</x:f>
        <x:v>124</x:v>
      </x:c>
      <x:c r="B128" s="72" t="n">
        <x:f>Trading_Raw!B128</x:f>
        <x:v>46116.125</x:v>
      </x:c>
      <x:c r="C128" t="str">
        <x:f>Trading_Raw!C128</x:f>
        <x:v>ETHUSDT</x:v>
      </x:c>
      <x:c r="D128" t="str">
        <x:f>Trading_Raw!D128</x:f>
        <x:v>Bybit</x:v>
      </x:c>
      <x:c r="E128" t="str">
        <x:f>Trading_Raw!E128</x:f>
        <x:v>3m</x:v>
      </x:c>
      <x:c r="F128" t="str">
        <x:f>Trading_Raw!F128</x:f>
        <x:v>Long</x:v>
      </x:c>
      <x:c r="G128" t="n">
        <x:f>Trading_Raw!G128</x:f>
        <x:v>3149.088161</x:v>
      </x:c>
      <x:c r="H128" t="n">
        <x:f>Trading_Raw!H128</x:f>
        <x:v>3038.306601</x:v>
      </x:c>
      <x:c r="I128" t="n">
        <x:f>Trading_Raw!I128</x:f>
        <x:v>3073.322231</x:v>
      </x:c>
      <x:c r="J128" t="n">
        <x:f>Trading_Raw!J128</x:f>
        <x:v>3211.4289</x:v>
      </x:c>
      <x:c r="K128" t="n">
        <x:f>Trading_Raw!K128</x:f>
        <x:v>100</x:v>
      </x:c>
      <x:c r="L128" t="n">
        <x:f>Trading_Raw!L128</x:f>
        <x:v>3</x:v>
      </x:c>
      <x:c r="M128" t="n">
        <x:f>Trading_Raw!M128</x:f>
        <x:v>0.24</x:v>
      </x:c>
      <x:c r="N128" t="str">
        <x:f>Trading_Raw!N128</x:f>
        <x:v>Range deviation</x:v>
      </x:c>
      <x:c r="O128" t="str">
        <x:f>Trading_Raw!O128</x:f>
        <x:v>Oversized</x:v>
      </x:c>
      <x:c r="P128" s="76" t="n">
        <x:f>IF(F128="Long",(H128-G128)/G128*K128*L128,(G128-H128)/G128*K128*L128)-M128</x:f>
        <x:v>-10.793679764064283</x:v>
      </x:c>
      <x:c r="Q128" s="78" t="n">
        <x:f>P128/K128</x:f>
        <x:v>-0.10793679764064283</x:v>
      </x:c>
      <x:c r="R128" s="78" t="n">
        <x:f>IF(F128="Long",(G128-I128)/G128,(I128-G128)/G128)</x:f>
        <x:v>0.024059640799621303</x:v>
      </x:c>
      <x:c r="S128" s="78" t="n">
        <x:f>IF(F128="Long",(J128-G128)/G128,(G128-J128)/G128)</x:f>
        <x:v>0.019796441322939437</x:v>
      </x:c>
      <x:c r="T128" s="80" t="n">
        <x:f>IFERROR(P128/(K128*L128*R128),0)</x:f>
        <x:v>-1.495406055581979</x:v>
      </x:c>
      <x:c r="U128" t="str">
        <x:f>IF(P128&gt;0,"Win",IF(P128&lt;0,"Loss","Breakeven"))</x:f>
        <x:v>Loss</x:v>
      </x:c>
      <x:c r="V128" s="76" t="n">
        <x:f>SUM($P$5:P128)</x:f>
        <x:v>-331.64333804219257</x:v>
      </x:c>
    </x:row>
    <x:row r="129">
      <x:c r="A129" t="n">
        <x:f>Trading_Raw!A129</x:f>
        <x:v>125</x:v>
      </x:c>
      <x:c r="B129" s="72" t="n">
        <x:f>Trading_Raw!B129</x:f>
        <x:v>46134.5</x:v>
      </x:c>
      <x:c r="C129" t="str">
        <x:f>Trading_Raw!C129</x:f>
        <x:v>BTCUSDT</x:v>
      </x:c>
      <x:c r="D129" t="str">
        <x:f>Trading_Raw!D129</x:f>
        <x:v>Bybit</x:v>
      </x:c>
      <x:c r="E129" t="str">
        <x:f>Trading_Raw!E129</x:f>
        <x:v>5m</x:v>
      </x:c>
      <x:c r="F129" t="str">
        <x:f>Trading_Raw!F129</x:f>
        <x:v>Long</x:v>
      </x:c>
      <x:c r="G129" t="n">
        <x:f>Trading_Raw!G129</x:f>
        <x:v>72509.946104</x:v>
      </x:c>
      <x:c r="H129" t="n">
        <x:f>Trading_Raw!H129</x:f>
        <x:v>71067.424657</x:v>
      </x:c>
      <x:c r="I129" t="n">
        <x:f>Trading_Raw!I129</x:f>
        <x:v>70858.5237</x:v>
      </x:c>
      <x:c r="J129" t="n">
        <x:f>Trading_Raw!J129</x:f>
        <x:v>74063.577608</x:v>
      </x:c>
      <x:c r="K129" t="n">
        <x:f>Trading_Raw!K129</x:f>
        <x:v>150</x:v>
      </x:c>
      <x:c r="L129" t="n">
        <x:f>Trading_Raw!L129</x:f>
        <x:v>10</x:v>
      </x:c>
      <x:c r="M129" t="n">
        <x:f>Trading_Raw!M129</x:f>
        <x:v>1.2</x:v>
      </x:c>
      <x:c r="N129" t="str">
        <x:f>Trading_Raw!N129</x:f>
        <x:v>Trend continuation</x:v>
      </x:c>
      <x:c r="O129" t="str">
        <x:f>Trading_Raw!O129</x:f>
        <x:v>No HTF confirmation</x:v>
      </x:c>
      <x:c r="P129" s="76" t="n">
        <x:f>IF(F129="Long",(H129-G129)/G129*K129*L129,(G129-H129)/G129*K129*L129)-M129</x:f>
        <x:v>-31.04117747648753</x:v>
      </x:c>
      <x:c r="Q129" s="78" t="n">
        <x:f>P129/K129</x:f>
        <x:v>-0.20694118317658353</x:v>
      </x:c>
      <x:c r="R129" s="78" t="n">
        <x:f>IF(F129="Long",(G129-I129)/G129,(I129-G129)/G129)</x:f>
        <x:v>0.022775115590782335</x:v>
      </x:c>
      <x:c r="S129" s="78" t="n">
        <x:f>IF(F129="Long",(J129-G129)/G129,(G129-J129)/G129)</x:f>
        <x:v>0.02142646060957834</x:v>
      </x:c>
      <x:c r="T129" s="80" t="n">
        <x:f>IFERROR(P129/(K129*L129*R129),0)</x:f>
        <x:v>-0.9086284649213279</x:v>
      </x:c>
      <x:c r="U129" t="str">
        <x:f>IF(P129&gt;0,"Win",IF(P129&lt;0,"Loss","Breakeven"))</x:f>
        <x:v>Loss</x:v>
      </x:c>
      <x:c r="V129" s="76" t="n">
        <x:f>SUM($P$5:P129)</x:f>
        <x:v>-362.6845155186801</x:v>
      </x:c>
    </x:row>
    <x:row r="130">
      <x:c r="A130" t="n">
        <x:f>Trading_Raw!A130</x:f>
        <x:v>126</x:v>
      </x:c>
      <x:c r="B130" s="72" t="n">
        <x:f>Trading_Raw!B130</x:f>
        <x:v>46125.125</x:v>
      </x:c>
      <x:c r="C130" t="str">
        <x:f>Trading_Raw!C130</x:f>
        <x:v>BTCUSDT</x:v>
      </x:c>
      <x:c r="D130" t="str">
        <x:f>Trading_Raw!D130</x:f>
        <x:v>Binance</x:v>
      </x:c>
      <x:c r="E130" t="str">
        <x:f>Trading_Raw!E130</x:f>
        <x:v>1h</x:v>
      </x:c>
      <x:c r="F130" t="str">
        <x:f>Trading_Raw!F130</x:f>
        <x:v>Short</x:v>
      </x:c>
      <x:c r="G130" t="n">
        <x:f>Trading_Raw!G130</x:f>
        <x:v>63712.230549</x:v>
      </x:c>
      <x:c r="H130" t="n">
        <x:f>Trading_Raw!H130</x:f>
        <x:v>62710.442286</x:v>
      </x:c>
      <x:c r="I130" t="n">
        <x:f>Trading_Raw!I130</x:f>
        <x:v>64296.647053</x:v>
      </x:c>
      <x:c r="J130" t="n">
        <x:f>Trading_Raw!J130</x:f>
        <x:v>60439.839952</x:v>
      </x:c>
      <x:c r="K130" t="n">
        <x:f>Trading_Raw!K130</x:f>
        <x:v>750</x:v>
      </x:c>
      <x:c r="L130" t="n">
        <x:f>Trading_Raw!L130</x:f>
        <x:v>5</x:v>
      </x:c>
      <x:c r="M130" t="n">
        <x:f>Trading_Raw!M130</x:f>
        <x:v>3</x:v>
      </x:c>
      <x:c r="N130" t="str">
        <x:f>Trading_Raw!N130</x:f>
        <x:v>Range deviation</x:v>
      </x:c>
      <x:c r="O130" t="str">
        <x:f>Trading_Raw!O130</x:f>
        <x:v>None</x:v>
      </x:c>
      <x:c r="P130" s="76" t="n">
        <x:f>IF(F130="Long",(H130-G130)/G130*K130*L130,(G130-H130)/G130*K130*L130)-M130</x:f>
        <x:v>55.9636550765679</x:v>
      </x:c>
      <x:c r="Q130" s="78" t="n">
        <x:f>P130/K130</x:f>
        <x:v>0.0746182067687572</x:v>
      </x:c>
      <x:c r="R130" s="78" t="n">
        <x:f>IF(F130="Long",(G130-I130)/G130,(I130-G130)/G130)</x:f>
        <x:v>0.00917275221671192</x:v>
      </x:c>
      <x:c r="S130" s="78" t="n">
        <x:f>IF(F130="Long",(J130-G130)/G130,(G130-J130)/G130)</x:f>
        <x:v>0.05136204726788301</x:v>
      </x:c>
      <x:c r="T130" s="80" t="n">
        <x:f>IFERROR(P130/(K130*L130*R130),0)</x:f>
        <x:v>1.626953503285734</x:v>
      </x:c>
      <x:c r="U130" t="str">
        <x:f>IF(P130&gt;0,"Win",IF(P130&lt;0,"Loss","Breakeven"))</x:f>
        <x:v>Win</x:v>
      </x:c>
      <x:c r="V130" s="76" t="n">
        <x:f>SUM($P$5:P130)</x:f>
        <x:v>-306.7208604421122</x:v>
      </x:c>
    </x:row>
    <x:row r="131">
      <x:c r="A131" t="n">
        <x:f>Trading_Raw!A131</x:f>
        <x:v>127</x:v>
      </x:c>
      <x:c r="B131" s="72" t="n">
        <x:f>Trading_Raw!B131</x:f>
        <x:v>46144.125</x:v>
      </x:c>
      <x:c r="C131" t="str">
        <x:f>Trading_Raw!C131</x:f>
        <x:v>BNBUSDT</x:v>
      </x:c>
      <x:c r="D131" t="str">
        <x:f>Trading_Raw!D131</x:f>
        <x:v>Binance</x:v>
      </x:c>
      <x:c r="E131" t="str">
        <x:f>Trading_Raw!E131</x:f>
        <x:v>5m</x:v>
      </x:c>
      <x:c r="F131" t="str">
        <x:f>Trading_Raw!F131</x:f>
        <x:v>Long</x:v>
      </x:c>
      <x:c r="G131" t="n">
        <x:f>Trading_Raw!G131</x:f>
        <x:v>573.609125</x:v>
      </x:c>
      <x:c r="H131" t="n">
        <x:f>Trading_Raw!H131</x:f>
        <x:v>563.427004</x:v>
      </x:c>
      <x:c r="I131" t="n">
        <x:f>Trading_Raw!I131</x:f>
        <x:v>559.773184</x:v>
      </x:c>
      <x:c r="J131" t="n">
        <x:f>Trading_Raw!J131</x:f>
        <x:v>605.002236</x:v>
      </x:c>
      <x:c r="K131" t="n">
        <x:f>Trading_Raw!K131</x:f>
        <x:v>500</x:v>
      </x:c>
      <x:c r="L131" t="n">
        <x:f>Trading_Raw!L131</x:f>
        <x:v>3</x:v>
      </x:c>
      <x:c r="M131" t="n">
        <x:f>Trading_Raw!M131</x:f>
        <x:v>1.2</x:v>
      </x:c>
      <x:c r="N131" t="str">
        <x:f>Trading_Raw!N131</x:f>
        <x:v>CVD divergence</x:v>
      </x:c>
      <x:c r="O131" t="str">
        <x:f>Trading_Raw!O131</x:f>
        <x:v>No HTF confirmation</x:v>
      </x:c>
      <x:c r="P131" s="76" t="n">
        <x:f>IF(F131="Long",(H131-G131)/G131*K131*L131,(G131-H131)/G131*K131*L131)-M131</x:f>
        <x:v>-27.82646187854823</x:v>
      </x:c>
      <x:c r="Q131" s="78" t="n">
        <x:f>P131/K131</x:f>
        <x:v>-0.05565292375709646</x:v>
      </x:c>
      <x:c r="R131" s="78" t="n">
        <x:f>IF(F131="Long",(G131-I131)/G131,(I131-G131)/G131)</x:f>
        <x:v>0.024120852331280355</x:v>
      </x:c>
      <x:c r="S131" s="78" t="n">
        <x:f>IF(F131="Long",(J131-G131)/G131,(G131-J131)/G131)</x:f>
        <x:v>0.054729099715769156</x:v>
      </x:c>
      <x:c r="T131" s="80" t="n">
        <x:f>IFERROR(P131/(K131*L131*R131),0)</x:f>
        <x:v>-0.7690845385940853</x:v>
      </x:c>
      <x:c r="U131" t="str">
        <x:f>IF(P131&gt;0,"Win",IF(P131&lt;0,"Loss","Breakeven"))</x:f>
        <x:v>Loss</x:v>
      </x:c>
      <x:c r="V131" s="76" t="n">
        <x:f>SUM($P$5:P131)</x:f>
        <x:v>-334.54732232066044</x:v>
      </x:c>
    </x:row>
    <x:row r="132">
      <x:c r="A132" t="n">
        <x:f>Trading_Raw!A132</x:f>
        <x:v>128</x:v>
      </x:c>
      <x:c r="B132" s="72" t="n">
        <x:f>Trading_Raw!B132</x:f>
        <x:v>46171.041666666664</x:v>
      </x:c>
      <x:c r="C132" t="str">
        <x:f>Trading_Raw!C132</x:f>
        <x:v>ADAUSDT</x:v>
      </x:c>
      <x:c r="D132" t="str">
        <x:f>Trading_Raw!D132</x:f>
        <x:v>Binance</x:v>
      </x:c>
      <x:c r="E132" t="str">
        <x:f>Trading_Raw!E132</x:f>
        <x:v>15m</x:v>
      </x:c>
      <x:c r="F132" t="str">
        <x:f>Trading_Raw!F132</x:f>
        <x:v>Long</x:v>
      </x:c>
      <x:c r="G132" t="n">
        <x:f>Trading_Raw!G132</x:f>
        <x:v>0.44432</x:v>
      </x:c>
      <x:c r="H132" t="n">
        <x:f>Trading_Raw!H132</x:f>
        <x:v>0.442265</x:v>
      </x:c>
      <x:c r="I132" t="n">
        <x:f>Trading_Raw!I132</x:f>
        <x:v>0.440722</x:v>
      </x:c>
      <x:c r="J132" t="n">
        <x:f>Trading_Raw!J132</x:f>
        <x:v>0.453791</x:v>
      </x:c>
      <x:c r="K132" t="n">
        <x:f>Trading_Raw!K132</x:f>
        <x:v>500</x:v>
      </x:c>
      <x:c r="L132" t="n">
        <x:f>Trading_Raw!L132</x:f>
        <x:v>3</x:v>
      </x:c>
      <x:c r="M132" t="n">
        <x:f>Trading_Raw!M132</x:f>
        <x:v>1.2</x:v>
      </x:c>
      <x:c r="N132" t="str">
        <x:f>Trading_Raw!N132</x:f>
        <x:v>Range deviation</x:v>
      </x:c>
      <x:c r="O132" t="str">
        <x:f>Trading_Raw!O132</x:f>
        <x:v>No HTF confirmation</x:v>
      </x:c>
      <x:c r="P132" s="76" t="n">
        <x:f>IF(F132="Long",(H132-G132)/G132*K132*L132,(G132-H132)/G132*K132*L132)-M132</x:f>
        <x:v>-8.137567518905204</x:v>
      </x:c>
      <x:c r="Q132" s="78" t="n">
        <x:f>P132/K132</x:f>
        <x:v>-0.016275135037810407</x:v>
      </x:c>
      <x:c r="R132" s="78" t="n">
        <x:f>IF(F132="Long",(G132-I132)/G132,(I132-G132)/G132)</x:f>
        <x:v>0.00809776737486494</x:v>
      </x:c>
      <x:c r="S132" s="78" t="n">
        <x:f>IF(F132="Long",(J132-G132)/G132,(G132-J132)/G132)</x:f>
        <x:v>0.021315718401152338</x:v>
      </x:c>
      <x:c r="T132" s="80" t="n">
        <x:f>IFERROR(P132/(K132*L132*R132),0)</x:f>
        <x:v>-0.6699433018343469</x:v>
      </x:c>
      <x:c r="U132" t="str">
        <x:f>IF(P132&gt;0,"Win",IF(P132&lt;0,"Loss","Breakeven"))</x:f>
        <x:v>Loss</x:v>
      </x:c>
      <x:c r="V132" s="76" t="n">
        <x:f>SUM($P$5:P132)</x:f>
        <x:v>-342.68488983956564</x:v>
      </x:c>
    </x:row>
    <x:row r="133">
      <x:c r="A133" t="n">
        <x:f>Trading_Raw!A133</x:f>
        <x:v>129</x:v>
      </x:c>
      <x:c r="B133" s="72" t="n">
        <x:f>Trading_Raw!B133</x:f>
        <x:v>46173.541666666664</x:v>
      </x:c>
      <x:c r="C133" t="str">
        <x:f>Trading_Raw!C133</x:f>
        <x:v>XRPUSDT</x:v>
      </x:c>
      <x:c r="D133" t="str">
        <x:f>Trading_Raw!D133</x:f>
        <x:v>OKX</x:v>
      </x:c>
      <x:c r="E133" t="str">
        <x:f>Trading_Raw!E133</x:f>
        <x:v>5m</x:v>
      </x:c>
      <x:c r="F133" t="str">
        <x:f>Trading_Raw!F133</x:f>
        <x:v>Long</x:v>
      </x:c>
      <x:c r="G133" t="n">
        <x:f>Trading_Raw!G133</x:f>
        <x:v>0.442528</x:v>
      </x:c>
      <x:c r="H133" t="n">
        <x:f>Trading_Raw!H133</x:f>
        <x:v>0.433317</x:v>
      </x:c>
      <x:c r="I133" t="n">
        <x:f>Trading_Raw!I133</x:f>
        <x:v>0.434965</x:v>
      </x:c>
      <x:c r="J133" t="n">
        <x:f>Trading_Raw!J133</x:f>
        <x:v>0.451582</x:v>
      </x:c>
      <x:c r="K133" t="n">
        <x:f>Trading_Raw!K133</x:f>
        <x:v>300</x:v>
      </x:c>
      <x:c r="L133" t="n">
        <x:f>Trading_Raw!L133</x:f>
        <x:v>5</x:v>
      </x:c>
      <x:c r="M133" t="n">
        <x:f>Trading_Raw!M133</x:f>
        <x:v>1.2</x:v>
      </x:c>
      <x:c r="N133" t="str">
        <x:f>Trading_Raw!N133</x:f>
        <x:v>CVD divergence</x:v>
      </x:c>
      <x:c r="O133" t="str">
        <x:f>Trading_Raw!O133</x:f>
        <x:v>Moved SL</x:v>
      </x:c>
      <x:c r="P133" s="76" t="n">
        <x:f>IF(F133="Long",(H133-G133)/G133*K133*L133,(G133-H133)/G133*K133*L133)-M133</x:f>
        <x:v>-32.42175319979743</x:v>
      </x:c>
      <x:c r="Q133" s="78" t="n">
        <x:f>P133/K133</x:f>
        <x:v>-0.10807251066599143</x:v>
      </x:c>
      <x:c r="R133" s="78" t="n">
        <x:f>IF(F133="Long",(G133-I133)/G133,(I133-G133)/G133)</x:f>
        <x:v>0.017090443994504274</x:v>
      </x:c>
      <x:c r="S133" s="78" t="n">
        <x:f>IF(F133="Long",(J133-G133)/G133,(G133-J133)/G133)</x:f>
        <x:v>0.020459722322655305</x:v>
      </x:c>
      <x:c r="T133" s="80" t="n">
        <x:f>IFERROR(P133/(K133*L133*R133),0)</x:f>
        <x:v>-1.2647127330424417</x:v>
      </x:c>
      <x:c r="U133" t="str">
        <x:f>IF(P133&gt;0,"Win",IF(P133&lt;0,"Loss","Breakeven"))</x:f>
        <x:v>Loss</x:v>
      </x:c>
      <x:c r="V133" s="76" t="n">
        <x:f>SUM($P$5:P133)</x:f>
        <x:v>-375.10664303936306</x:v>
      </x:c>
    </x:row>
    <x:row r="134">
      <x:c r="A134" t="n">
        <x:f>Trading_Raw!A134</x:f>
        <x:v>130</x:v>
      </x:c>
      <x:c r="B134" s="72" t="n">
        <x:f>Trading_Raw!B134</x:f>
        <x:v>46101.25</x:v>
      </x:c>
      <x:c r="C134" t="str">
        <x:f>Trading_Raw!C134</x:f>
        <x:v>WLFIUSDT</x:v>
      </x:c>
      <x:c r="D134" t="str">
        <x:f>Trading_Raw!D134</x:f>
        <x:v>Bybit</x:v>
      </x:c>
      <x:c r="E134" t="str">
        <x:f>Trading_Raw!E134</x:f>
        <x:v>15m</x:v>
      </x:c>
      <x:c r="F134" t="str">
        <x:f>Trading_Raw!F134</x:f>
        <x:v>Short</x:v>
      </x:c>
      <x:c r="G134" t="n">
        <x:f>Trading_Raw!G134</x:f>
        <x:v>0.061838</x:v>
      </x:c>
      <x:c r="H134" t="n">
        <x:f>Trading_Raw!H134</x:f>
        <x:v>0.060553</x:v>
      </x:c>
      <x:c r="I134" t="n">
        <x:f>Trading_Raw!I134</x:f>
        <x:v>0.062847</x:v>
      </x:c>
      <x:c r="J134" t="n">
        <x:f>Trading_Raw!J134</x:f>
        <x:v>0.060024</x:v>
      </x:c>
      <x:c r="K134" t="n">
        <x:f>Trading_Raw!K134</x:f>
        <x:v>200</x:v>
      </x:c>
      <x:c r="L134" t="n">
        <x:f>Trading_Raw!L134</x:f>
        <x:v>3</x:v>
      </x:c>
      <x:c r="M134" t="n">
        <x:f>Trading_Raw!M134</x:f>
        <x:v>0.48</x:v>
      </x:c>
      <x:c r="N134" t="str">
        <x:f>Trading_Raw!N134</x:f>
        <x:v>Trend continuation</x:v>
      </x:c>
      <x:c r="O134" t="str">
        <x:f>Trading_Raw!O134</x:f>
        <x:v>Ignored funding</x:v>
      </x:c>
      <x:c r="P134" s="76" t="n">
        <x:f>IF(F134="Long",(H134-G134)/G134*K134*L134,(G134-H134)/G134*K134*L134)-M134</x:f>
        <x:v>11.98806170962833</x:v>
      </x:c>
      <x:c r="Q134" s="78" t="n">
        <x:f>P134/K134</x:f>
        <x:v>0.05994030854814165</x:v>
      </x:c>
      <x:c r="R134" s="78" t="n">
        <x:f>IF(F134="Long",(G134-I134)/G134,(I134-G134)/G134)</x:f>
        <x:v>0.01631682784048648</x:v>
      </x:c>
      <x:c r="S134" s="78" t="n">
        <x:f>IF(F134="Long",(J134-G134)/G134,(G134-J134)/G134)</x:f>
        <x:v>0.029334713283094477</x:v>
      </x:c>
      <x:c r="T134" s="80" t="n">
        <x:f>IFERROR(P134/(K134*L134*R134),0)</x:f>
        <x:v>1.224509018830516</x:v>
      </x:c>
      <x:c r="U134" t="str">
        <x:f>IF(P134&gt;0,"Win",IF(P134&lt;0,"Loss","Breakeven"))</x:f>
        <x:v>Win</x:v>
      </x:c>
      <x:c r="V134" s="76" t="n">
        <x:f>SUM($P$5:P134)</x:f>
        <x:v>-363.11858132973475</x:v>
      </x:c>
    </x:row>
    <x:row r="135">
      <x:c r="A135" t="n">
        <x:f>Trading_Raw!A135</x:f>
        <x:v>131</x:v>
      </x:c>
      <x:c r="B135" s="72" t="n">
        <x:f>Trading_Raw!B135</x:f>
        <x:v>46060.875</x:v>
      </x:c>
      <x:c r="C135" t="str">
        <x:f>Trading_Raw!C135</x:f>
        <x:v>WLFIUSDT</x:v>
      </x:c>
      <x:c r="D135" t="str">
        <x:f>Trading_Raw!D135</x:f>
        <x:v>Bybit</x:v>
      </x:c>
      <x:c r="E135" t="str">
        <x:f>Trading_Raw!E135</x:f>
        <x:v>3m</x:v>
      </x:c>
      <x:c r="F135" t="str">
        <x:f>Trading_Raw!F135</x:f>
        <x:v>Long</x:v>
      </x:c>
      <x:c r="G135" t="n">
        <x:f>Trading_Raw!G135</x:f>
        <x:v>0.053168</x:v>
      </x:c>
      <x:c r="H135" t="n">
        <x:f>Trading_Raw!H135</x:f>
        <x:v>0.052321</x:v>
      </x:c>
      <x:c r="I135" t="n">
        <x:f>Trading_Raw!I135</x:f>
        <x:v>0.052652</x:v>
      </x:c>
      <x:c r="J135" t="n">
        <x:f>Trading_Raw!J135</x:f>
        <x:v>0.054207</x:v>
      </x:c>
      <x:c r="K135" t="n">
        <x:f>Trading_Raw!K135</x:f>
        <x:v>150</x:v>
      </x:c>
      <x:c r="L135" t="n">
        <x:f>Trading_Raw!L135</x:f>
        <x:v>1</x:v>
      </x:c>
      <x:c r="M135" t="n">
        <x:f>Trading_Raw!M135</x:f>
        <x:v>0.12</x:v>
      </x:c>
      <x:c r="N135" t="str">
        <x:f>Trading_Raw!N135</x:f>
        <x:v>Range deviation</x:v>
      </x:c>
      <x:c r="O135" t="str">
        <x:f>Trading_Raw!O135</x:f>
        <x:v>Oversized</x:v>
      </x:c>
      <x:c r="P135" s="76" t="n">
        <x:f>IF(F135="Long",(H135-G135)/G135*K135*L135,(G135-H135)/G135*K135*L135)-M135</x:f>
        <x:v>-2.5095952452603085</x:v>
      </x:c>
      <x:c r="Q135" s="78" t="n">
        <x:f>P135/K135</x:f>
        <x:v>-0.016730634968402058</x:v>
      </x:c>
      <x:c r="R135" s="78" t="n">
        <x:f>IF(F135="Long",(G135-I135)/G135,(I135-G135)/G135)</x:f>
        <x:v>0.009705085765874259</x:v>
      </x:c>
      <x:c r="S135" s="78" t="n">
        <x:f>IF(F135="Long",(J135-G135)/G135,(G135-J135)/G135)</x:f>
        <x:v>0.019541829671983115</x:v>
      </x:c>
      <x:c r="T135" s="80" t="n">
        <x:f>IFERROR(P135/(K135*L135*R135),0)</x:f>
        <x:v>-1.7239038759689849</x:v>
      </x:c>
      <x:c r="U135" t="str">
        <x:f>IF(P135&gt;0,"Win",IF(P135&lt;0,"Loss","Breakeven"))</x:f>
        <x:v>Loss</x:v>
      </x:c>
      <x:c r="V135" s="76" t="n">
        <x:f>SUM($P$5:P135)</x:f>
        <x:v>-365.62817657499505</x:v>
      </x:c>
    </x:row>
    <x:row r="136">
      <x:c r="A136" t="n">
        <x:f>Trading_Raw!A136</x:f>
        <x:v>132</x:v>
      </x:c>
      <x:c r="B136" s="72" t="n">
        <x:f>Trading_Raw!B136</x:f>
        <x:v>46132.041666666664</x:v>
      </x:c>
      <x:c r="C136" t="str">
        <x:f>Trading_Raw!C136</x:f>
        <x:v>WLFIUSDT</x:v>
      </x:c>
      <x:c r="D136" t="str">
        <x:f>Trading_Raw!D136</x:f>
        <x:v>Bybit</x:v>
      </x:c>
      <x:c r="E136" t="str">
        <x:f>Trading_Raw!E136</x:f>
        <x:v>15m</x:v>
      </x:c>
      <x:c r="F136" t="str">
        <x:f>Trading_Raw!F136</x:f>
        <x:v>Long</x:v>
      </x:c>
      <x:c r="G136" t="n">
        <x:f>Trading_Raw!G136</x:f>
        <x:v>0.060064</x:v>
      </x:c>
      <x:c r="H136" t="n">
        <x:f>Trading_Raw!H136</x:f>
        <x:v>0.060478</x:v>
      </x:c>
      <x:c r="I136" t="n">
        <x:f>Trading_Raw!I136</x:f>
        <x:v>0.058886</x:v>
      </x:c>
      <x:c r="J136" t="n">
        <x:f>Trading_Raw!J136</x:f>
        <x:v>0.063355</x:v>
      </x:c>
      <x:c r="K136" t="n">
        <x:f>Trading_Raw!K136</x:f>
        <x:v>200</x:v>
      </x:c>
      <x:c r="L136" t="n">
        <x:f>Trading_Raw!L136</x:f>
        <x:v>1</x:v>
      </x:c>
      <x:c r="M136" t="n">
        <x:f>Trading_Raw!M136</x:f>
        <x:v>0.16</x:v>
      </x:c>
      <x:c r="N136" t="str">
        <x:f>Trading_Raw!N136</x:f>
        <x:v>Range deviation</x:v>
      </x:c>
      <x:c r="O136" t="str">
        <x:f>Trading_Raw!O136</x:f>
        <x:v>No HTF confirmation</x:v>
      </x:c>
      <x:c r="P136" s="76" t="n">
        <x:f>IF(F136="Long",(H136-G136)/G136*K136*L136,(G136-H136)/G136*K136*L136)-M136</x:f>
        <x:v>1.2185295684603015</x:v>
      </x:c>
      <x:c r="Q136" s="78" t="n">
        <x:f>P136/K136</x:f>
        <x:v>0.006092647842301508</x:v>
      </x:c>
      <x:c r="R136" s="78" t="n">
        <x:f>IF(F136="Long",(G136-I136)/G136,(I136-G136)/G136)</x:f>
        <x:v>0.01961241342567925</x:v>
      </x:c>
      <x:c r="S136" s="78" t="n">
        <x:f>IF(F136="Long",(J136-G136)/G136,(G136-J136)/G136)</x:f>
        <x:v>0.05479155567394771</x:v>
      </x:c>
      <x:c r="T136" s="80" t="n">
        <x:f>IFERROR(P136/(K136*L136*R136),0)</x:f>
        <x:v>0.31065263157894585</x:v>
      </x:c>
      <x:c r="U136" t="str">
        <x:f>IF(P136&gt;0,"Win",IF(P136&lt;0,"Loss","Breakeven"))</x:f>
        <x:v>Win</x:v>
      </x:c>
      <x:c r="V136" s="76" t="n">
        <x:f>SUM($P$5:P136)</x:f>
        <x:v>-364.4096470065347</x:v>
      </x:c>
    </x:row>
    <x:row r="137">
      <x:c r="A137" t="n">
        <x:f>Trading_Raw!A137</x:f>
        <x:v>133</x:v>
      </x:c>
      <x:c r="B137" s="72" t="n">
        <x:f>Trading_Raw!B137</x:f>
        <x:v>46064.583333333336</x:v>
      </x:c>
      <x:c r="C137" t="str">
        <x:f>Trading_Raw!C137</x:f>
        <x:v>BTCUSDT</x:v>
      </x:c>
      <x:c r="D137" t="str">
        <x:f>Trading_Raw!D137</x:f>
        <x:v>Bybit</x:v>
      </x:c>
      <x:c r="E137" t="str">
        <x:f>Trading_Raw!E137</x:f>
        <x:v>3m</x:v>
      </x:c>
      <x:c r="F137" t="str">
        <x:f>Trading_Raw!F137</x:f>
        <x:v>Long</x:v>
      </x:c>
      <x:c r="G137" t="n">
        <x:f>Trading_Raw!G137</x:f>
        <x:v>72058.527339</x:v>
      </x:c>
      <x:c r="H137" t="n">
        <x:f>Trading_Raw!H137</x:f>
        <x:v>73198.501923</x:v>
      </x:c>
      <x:c r="I137" t="n">
        <x:f>Trading_Raw!I137</x:f>
        <x:v>70680.302768</x:v>
      </x:c>
      <x:c r="J137" t="n">
        <x:f>Trading_Raw!J137</x:f>
        <x:v>75677.409328</x:v>
      </x:c>
      <x:c r="K137" t="n">
        <x:f>Trading_Raw!K137</x:f>
        <x:v>100</x:v>
      </x:c>
      <x:c r="L137" t="n">
        <x:f>Trading_Raw!L137</x:f>
        <x:v>1</x:v>
      </x:c>
      <x:c r="M137" t="n">
        <x:f>Trading_Raw!M137</x:f>
        <x:v>0.08</x:v>
      </x:c>
      <x:c r="N137" t="str">
        <x:f>Trading_Raw!N137</x:f>
        <x:v>VWAP reclaim</x:v>
      </x:c>
      <x:c r="O137" t="str">
        <x:f>Trading_Raw!O137</x:f>
        <x:v>Moved SL</x:v>
      </x:c>
      <x:c r="P137" s="76" t="n">
        <x:f>IF(F137="Long",(H137-G137)/G137*K137*L137,(G137-H137)/G137*K137*L137)-M137</x:f>
        <x:v>1.502012047841319</x:v>
      </x:c>
      <x:c r="Q137" s="78" t="n">
        <x:f>P137/K137</x:f>
        <x:v>0.01502012047841319</x:v>
      </x:c>
      <x:c r="R137" s="78" t="n">
        <x:f>IF(F137="Long",(G137-I137)/G137,(I137-G137)/G137)</x:f>
        <x:v>0.019126460418988706</x:v>
      </x:c>
      <x:c r="S137" s="78" t="n">
        <x:f>IF(F137="Long",(J137-G137)/G137,(G137-J137)/G137)</x:f>
        <x:v>0.0502214258692096</x:v>
      </x:c>
      <x:c r="T137" s="80" t="n">
        <x:f>IFERROR(P137/(K137*L137*R137),0)</x:f>
        <x:v>0.7853058093018219</x:v>
      </x:c>
      <x:c r="U137" t="str">
        <x:f>IF(P137&gt;0,"Win",IF(P137&lt;0,"Loss","Breakeven"))</x:f>
        <x:v>Win</x:v>
      </x:c>
      <x:c r="V137" s="76" t="n">
        <x:f>SUM($P$5:P137)</x:f>
        <x:v>-362.9076349586934</x:v>
      </x:c>
    </x:row>
    <x:row r="138">
      <x:c r="A138" t="n">
        <x:f>Trading_Raw!A138</x:f>
        <x:v>134</x:v>
      </x:c>
      <x:c r="B138" s="72" t="n">
        <x:f>Trading_Raw!B138</x:f>
        <x:v>46024.291666666664</x:v>
      </x:c>
      <x:c r="C138" t="str">
        <x:f>Trading_Raw!C138</x:f>
        <x:v>FARTCOINUSDT</x:v>
      </x:c>
      <x:c r="D138" t="str">
        <x:f>Trading_Raw!D138</x:f>
        <x:v>OKX</x:v>
      </x:c>
      <x:c r="E138" t="str">
        <x:f>Trading_Raw!E138</x:f>
        <x:v>3m</x:v>
      </x:c>
      <x:c r="F138" t="str">
        <x:f>Trading_Raw!F138</x:f>
        <x:v>Long</x:v>
      </x:c>
      <x:c r="G138" t="n">
        <x:f>Trading_Raw!G138</x:f>
        <x:v>0.151646</x:v>
      </x:c>
      <x:c r="H138" t="n">
        <x:f>Trading_Raw!H138</x:f>
        <x:v>0.154491</x:v>
      </x:c>
      <x:c r="I138" t="n">
        <x:f>Trading_Raw!I138</x:f>
        <x:v>0.149917</x:v>
      </x:c>
      <x:c r="J138" t="n">
        <x:f>Trading_Raw!J138</x:f>
        <x:v>0.156843</x:v>
      </x:c>
      <x:c r="K138" t="n">
        <x:f>Trading_Raw!K138</x:f>
        <x:v>100</x:v>
      </x:c>
      <x:c r="L138" t="n">
        <x:f>Trading_Raw!L138</x:f>
        <x:v>5</x:v>
      </x:c>
      <x:c r="M138" t="n">
        <x:f>Trading_Raw!M138</x:f>
        <x:v>0.4</x:v>
      </x:c>
      <x:c r="N138" t="str">
        <x:f>Trading_Raw!N138</x:f>
        <x:v>OB retest</x:v>
      </x:c>
      <x:c r="O138" t="str">
        <x:f>Trading_Raw!O138</x:f>
        <x:v>Moved SL</x:v>
      </x:c>
      <x:c r="P138" s="76" t="n">
        <x:f>IF(F138="Long",(H138-G138)/G138*K138*L138,(G138-H138)/G138*K138*L138)-M138</x:f>
        <x:v>8.98039908734812</x:v>
      </x:c>
      <x:c r="Q138" s="78" t="n">
        <x:f>P138/K138</x:f>
        <x:v>0.0898039908734812</x:v>
      </x:c>
      <x:c r="R138" s="78" t="n">
        <x:f>IF(F138="Long",(G138-I138)/G138,(I138-G138)/G138)</x:f>
        <x:v>0.011401553618295295</x:v>
      </x:c>
      <x:c r="S138" s="78" t="n">
        <x:f>IF(F138="Long",(J138-G138)/G138,(G138-J138)/G138)</x:f>
        <x:v>0.03427060390646642</x:v>
      </x:c>
      <x:c r="T138" s="80" t="n">
        <x:f>IFERROR(P138/(K138*L138*R138),0)</x:f>
        <x:v>1.5752939271254904</x:v>
      </x:c>
      <x:c r="U138" t="str">
        <x:f>IF(P138&gt;0,"Win",IF(P138&lt;0,"Loss","Breakeven"))</x:f>
        <x:v>Win</x:v>
      </x:c>
      <x:c r="V138" s="76" t="n">
        <x:f>SUM($P$5:P138)</x:f>
        <x:v>-353.92723587134526</x:v>
      </x:c>
    </x:row>
    <x:row r="139">
      <x:c r="A139" t="n">
        <x:f>Trading_Raw!A139</x:f>
        <x:v>135</x:v>
      </x:c>
      <x:c r="B139" s="72" t="n">
        <x:f>Trading_Raw!B139</x:f>
        <x:v>46160.333333333336</x:v>
      </x:c>
      <x:c r="C139" t="str">
        <x:f>Trading_Raw!C139</x:f>
        <x:v>ADAUSDT</x:v>
      </x:c>
      <x:c r="D139" t="str">
        <x:f>Trading_Raw!D139</x:f>
        <x:v>Bybit</x:v>
      </x:c>
      <x:c r="E139" t="str">
        <x:f>Trading_Raw!E139</x:f>
        <x:v>5m</x:v>
      </x:c>
      <x:c r="F139" t="str">
        <x:f>Trading_Raw!F139</x:f>
        <x:v>Long</x:v>
      </x:c>
      <x:c r="G139" t="n">
        <x:f>Trading_Raw!G139</x:f>
        <x:v>0.540642</x:v>
      </x:c>
      <x:c r="H139" t="n">
        <x:f>Trading_Raw!H139</x:f>
        <x:v>0.538258</x:v>
      </x:c>
      <x:c r="I139" t="n">
        <x:f>Trading_Raw!I139</x:f>
        <x:v>0.534401</x:v>
      </x:c>
      <x:c r="J139" t="n">
        <x:f>Trading_Raw!J139</x:f>
        <x:v>0.55609</x:v>
      </x:c>
      <x:c r="K139" t="n">
        <x:f>Trading_Raw!K139</x:f>
        <x:v>150</x:v>
      </x:c>
      <x:c r="L139" t="n">
        <x:f>Trading_Raw!L139</x:f>
        <x:v>1</x:v>
      </x:c>
      <x:c r="M139" t="n">
        <x:f>Trading_Raw!M139</x:f>
        <x:v>0.12</x:v>
      </x:c>
      <x:c r="N139" t="str">
        <x:f>Trading_Raw!N139</x:f>
        <x:v>Range deviation</x:v>
      </x:c>
      <x:c r="O139" t="str">
        <x:f>Trading_Raw!O139</x:f>
        <x:v>Late entry</x:v>
      </x:c>
      <x:c r="P139" s="76" t="n">
        <x:f>IF(F139="Long",(H139-G139)/G139*K139*L139,(G139-H139)/G139*K139*L139)-M139</x:f>
        <x:v>-0.781435848491222</x:v>
      </x:c>
      <x:c r="Q139" s="78" t="n">
        <x:f>P139/K139</x:f>
        <x:v>-0.005209572323274814</x:v>
      </x:c>
      <x:c r="R139" s="78" t="n">
        <x:f>IF(F139="Long",(G139-I139)/G139,(I139-G139)/G139)</x:f>
        <x:v>0.011543683250653743</x:v>
      </x:c>
      <x:c r="S139" s="78" t="n">
        <x:f>IF(F139="Long",(J139-G139)/G139,(G139-J139)/G139)</x:f>
        <x:v>0.028573436765919072</x:v>
      </x:c>
      <x:c r="T139" s="80" t="n">
        <x:f>IFERROR(P139/(K139*L139*R139),0)</x:f>
        <x:v>-0.4512920365326019</x:v>
      </x:c>
      <x:c r="U139" t="str">
        <x:f>IF(P139&gt;0,"Win",IF(P139&lt;0,"Loss","Breakeven"))</x:f>
        <x:v>Loss</x:v>
      </x:c>
      <x:c r="V139" s="76" t="n">
        <x:f>SUM($P$5:P139)</x:f>
        <x:v>-354.7086717198365</x:v>
      </x:c>
    </x:row>
    <x:row r="140">
      <x:c r="A140" t="n">
        <x:f>Trading_Raw!A140</x:f>
        <x:v>136</x:v>
      </x:c>
      <x:c r="B140" s="72" t="n">
        <x:f>Trading_Raw!B140</x:f>
        <x:v>46115.166666666664</x:v>
      </x:c>
      <x:c r="C140" t="str">
        <x:f>Trading_Raw!C140</x:f>
        <x:v>ADAUSDT</x:v>
      </x:c>
      <x:c r="D140" t="str">
        <x:f>Trading_Raw!D140</x:f>
        <x:v>Bybit</x:v>
      </x:c>
      <x:c r="E140" t="str">
        <x:f>Trading_Raw!E140</x:f>
        <x:v>15m</x:v>
      </x:c>
      <x:c r="F140" t="str">
        <x:f>Trading_Raw!F140</x:f>
        <x:v>Long</x:v>
      </x:c>
      <x:c r="G140" t="n">
        <x:f>Trading_Raw!G140</x:f>
        <x:v>0.427769</x:v>
      </x:c>
      <x:c r="H140" t="n">
        <x:f>Trading_Raw!H140</x:f>
        <x:v>0.418777</x:v>
      </x:c>
      <x:c r="I140" t="n">
        <x:f>Trading_Raw!I140</x:f>
        <x:v>0.423619</x:v>
      </x:c>
      <x:c r="J140" t="n">
        <x:f>Trading_Raw!J140</x:f>
        <x:v>0.43897</x:v>
      </x:c>
      <x:c r="K140" t="n">
        <x:f>Trading_Raw!K140</x:f>
        <x:v>150</x:v>
      </x:c>
      <x:c r="L140" t="n">
        <x:f>Trading_Raw!L140</x:f>
        <x:v>5</x:v>
      </x:c>
      <x:c r="M140" t="n">
        <x:f>Trading_Raw!M140</x:f>
        <x:v>0.6</x:v>
      </x:c>
      <x:c r="N140" t="str">
        <x:f>Trading_Raw!N140</x:f>
        <x:v>CVD divergence</x:v>
      </x:c>
      <x:c r="O140" t="str">
        <x:f>Trading_Raw!O140</x:f>
        <x:v>None</x:v>
      </x:c>
      <x:c r="P140" s="76" t="n">
        <x:f>IF(F140="Long",(H140-G140)/G140*K140*L140,(G140-H140)/G140*K140*L140)-M140</x:f>
        <x:v>-16.365518305440553</x:v>
      </x:c>
      <x:c r="Q140" s="78" t="n">
        <x:f>P140/K140</x:f>
        <x:v>-0.10910345536960368</x:v>
      </x:c>
      <x:c r="R140" s="78" t="n">
        <x:f>IF(F140="Long",(G140-I140)/G140,(I140-G140)/G140)</x:f>
        <x:v>0.009701497770993193</x:v>
      </x:c>
      <x:c r="S140" s="78" t="n">
        <x:f>IF(F140="Long",(J140-G140)/G140,(G140-J140)/G140)</x:f>
        <x:v>0.026184693140456686</x:v>
      </x:c>
      <x:c r="T140" s="80" t="n">
        <x:f>IFERROR(P140/(K140*L140*R140),0)</x:f>
        <x:v>-2.2492084819277176</x:v>
      </x:c>
      <x:c r="U140" t="str">
        <x:f>IF(P140&gt;0,"Win",IF(P140&lt;0,"Loss","Breakeven"))</x:f>
        <x:v>Loss</x:v>
      </x:c>
      <x:c r="V140" s="76" t="n">
        <x:f>SUM($P$5:P140)</x:f>
        <x:v>-371.07419002527706</x:v>
      </x:c>
    </x:row>
    <x:row r="141">
      <x:c r="A141" t="n">
        <x:f>Trading_Raw!A141</x:f>
        <x:v>137</x:v>
      </x:c>
      <x:c r="B141" s="72" t="n">
        <x:f>Trading_Raw!B141</x:f>
        <x:v>46127.583333333336</x:v>
      </x:c>
      <x:c r="C141" t="str">
        <x:f>Trading_Raw!C141</x:f>
        <x:v>WLFIUSDT</x:v>
      </x:c>
      <x:c r="D141" t="str">
        <x:f>Trading_Raw!D141</x:f>
        <x:v>OKX</x:v>
      </x:c>
      <x:c r="E141" t="str">
        <x:f>Trading_Raw!E141</x:f>
        <x:v>1h</x:v>
      </x:c>
      <x:c r="F141" t="str">
        <x:f>Trading_Raw!F141</x:f>
        <x:v>Short</x:v>
      </x:c>
      <x:c r="G141" t="n">
        <x:f>Trading_Raw!G141</x:f>
        <x:v>0.062589</x:v>
      </x:c>
      <x:c r="H141" t="n">
        <x:f>Trading_Raw!H141</x:f>
        <x:v>0.062078</x:v>
      </x:c>
      <x:c r="I141" t="n">
        <x:f>Trading_Raw!I141</x:f>
        <x:v>0.06406</x:v>
      </x:c>
      <x:c r="J141" t="n">
        <x:f>Trading_Raw!J141</x:f>
        <x:v>0.059883</x:v>
      </x:c>
      <x:c r="K141" t="n">
        <x:f>Trading_Raw!K141</x:f>
        <x:v>1000</x:v>
      </x:c>
      <x:c r="L141" t="n">
        <x:f>Trading_Raw!L141</x:f>
        <x:v>3</x:v>
      </x:c>
      <x:c r="M141" t="n">
        <x:f>Trading_Raw!M141</x:f>
        <x:v>2.4</x:v>
      </x:c>
      <x:c r="N141" t="str">
        <x:f>Trading_Raw!N141</x:f>
        <x:v>VWAP reclaim</x:v>
      </x:c>
      <x:c r="O141" t="str">
        <x:f>Trading_Raw!O141</x:f>
        <x:v>None</x:v>
      </x:c>
      <x:c r="P141" s="76" t="n">
        <x:f>IF(F141="Long",(H141-G141)/G141*K141*L141,(G141-H141)/G141*K141*L141)-M141</x:f>
        <x:v>22.093121794564755</x:v>
      </x:c>
      <x:c r="Q141" s="78" t="n">
        <x:f>P141/K141</x:f>
        <x:v>0.022093121794564755</x:v>
      </x:c>
      <x:c r="R141" s="78" t="n">
        <x:f>IF(F141="Long",(G141-I141)/G141,(I141-G141)/G141)</x:f>
        <x:v>0.023502532393871126</x:v>
      </x:c>
      <x:c r="S141" s="78" t="n">
        <x:f>IF(F141="Long",(J141-G141)/G141,(G141-J141)/G141)</x:f>
        <x:v>0.043234434165748084</x:v>
      </x:c>
      <x:c r="T141" s="80" t="n">
        <x:f>IFERROR(P141/(K141*L141*R141),0)</x:f>
        <x:v>0.31334384772264073</x:v>
      </x:c>
      <x:c r="U141" t="str">
        <x:f>IF(P141&gt;0,"Win",IF(P141&lt;0,"Loss","Breakeven"))</x:f>
        <x:v>Win</x:v>
      </x:c>
      <x:c r="V141" s="76" t="n">
        <x:f>SUM($P$5:P141)</x:f>
        <x:v>-348.9810682307123</x:v>
      </x:c>
    </x:row>
    <x:row r="142">
      <x:c r="A142" t="n">
        <x:f>Trading_Raw!A142</x:f>
        <x:v>138</x:v>
      </x:c>
      <x:c r="B142" s="72" t="n">
        <x:f>Trading_Raw!B142</x:f>
        <x:v>46122.958333333336</x:v>
      </x:c>
      <x:c r="C142" t="str">
        <x:f>Trading_Raw!C142</x:f>
        <x:v>SOLUSDT</x:v>
      </x:c>
      <x:c r="D142" t="str">
        <x:f>Trading_Raw!D142</x:f>
        <x:v>Binance</x:v>
      </x:c>
      <x:c r="E142" t="str">
        <x:f>Trading_Raw!E142</x:f>
        <x:v>15m</x:v>
      </x:c>
      <x:c r="F142" t="str">
        <x:f>Trading_Raw!F142</x:f>
        <x:v>Short</x:v>
      </x:c>
      <x:c r="G142" t="n">
        <x:f>Trading_Raw!G142</x:f>
        <x:v>162.287134</x:v>
      </x:c>
      <x:c r="H142" t="n">
        <x:f>Trading_Raw!H142</x:f>
        <x:v>165.591108</x:v>
      </x:c>
      <x:c r="I142" t="n">
        <x:f>Trading_Raw!I142</x:f>
        <x:v>166.294933</x:v>
      </x:c>
      <x:c r="J142" t="n">
        <x:f>Trading_Raw!J142</x:f>
        <x:v>158.563013</x:v>
      </x:c>
      <x:c r="K142" t="n">
        <x:f>Trading_Raw!K142</x:f>
        <x:v>150</x:v>
      </x:c>
      <x:c r="L142" t="n">
        <x:f>Trading_Raw!L142</x:f>
        <x:v>1</x:v>
      </x:c>
      <x:c r="M142" t="n">
        <x:f>Trading_Raw!M142</x:f>
        <x:v>0.12</x:v>
      </x:c>
      <x:c r="N142" t="str">
        <x:f>Trading_Raw!N142</x:f>
        <x:v>Liquidity sweep</x:v>
      </x:c>
      <x:c r="O142" t="str">
        <x:f>Trading_Raw!O142</x:f>
        <x:v>Oversized</x:v>
      </x:c>
      <x:c r="P142" s="76" t="n">
        <x:f>IF(F142="Long",(H142-G142)/G142*K142*L142,(G142-H142)/G142*K142*L142)-M142</x:f>
        <x:v>-3.1738224921761042</x:v>
      </x:c>
      <x:c r="Q142" s="78" t="n">
        <x:f>P142/K142</x:f>
        <x:v>-0.021158816614507362</x:v>
      </x:c>
      <x:c r="R142" s="78" t="n">
        <x:f>IF(F142="Long",(G142-I142)/G142,(I142-G142)/G142)</x:f>
        <x:v>0.024695728498107417</x:v>
      </x:c>
      <x:c r="S142" s="78" t="n">
        <x:f>IF(F142="Long",(J142-G142)/G142,(G142-J142)/G142)</x:f>
        <x:v>0.022947727944964486</x:v>
      </x:c>
      <x:c r="T142" s="80" t="n">
        <x:f>IFERROR(P142/(K142*L142*R142),0)</x:f>
        <x:v>-0.8567804191777089</x:v>
      </x:c>
      <x:c r="U142" t="str">
        <x:f>IF(P142&gt;0,"Win",IF(P142&lt;0,"Loss","Breakeven"))</x:f>
        <x:v>Loss</x:v>
      </x:c>
      <x:c r="V142" s="76" t="n">
        <x:f>SUM($P$5:P142)</x:f>
        <x:v>-352.1548907228884</x:v>
      </x:c>
    </x:row>
    <x:row r="143">
      <x:c r="A143" t="n">
        <x:f>Trading_Raw!A143</x:f>
        <x:v>139</x:v>
      </x:c>
      <x:c r="B143" s="72" t="n">
        <x:f>Trading_Raw!B143</x:f>
        <x:v>46107.541666666664</x:v>
      </x:c>
      <x:c r="C143" t="str">
        <x:f>Trading_Raw!C143</x:f>
        <x:v>FARTCOINUSDT</x:v>
      </x:c>
      <x:c r="D143" t="str">
        <x:f>Trading_Raw!D143</x:f>
        <x:v>Bybit</x:v>
      </x:c>
      <x:c r="E143" t="str">
        <x:f>Trading_Raw!E143</x:f>
        <x:v>15m</x:v>
      </x:c>
      <x:c r="F143" t="str">
        <x:f>Trading_Raw!F143</x:f>
        <x:v>Short</x:v>
      </x:c>
      <x:c r="G143" t="n">
        <x:f>Trading_Raw!G143</x:f>
        <x:v>0.170166</x:v>
      </x:c>
      <x:c r="H143" t="n">
        <x:f>Trading_Raw!H143</x:f>
        <x:v>0.176003</x:v>
      </x:c>
      <x:c r="I143" t="n">
        <x:f>Trading_Raw!I143</x:f>
        <x:v>0.173161</x:v>
      </x:c>
      <x:c r="J143" t="n">
        <x:f>Trading_Raw!J143</x:f>
        <x:v>0.161387</x:v>
      </x:c>
      <x:c r="K143" t="n">
        <x:f>Trading_Raw!K143</x:f>
        <x:v>250</x:v>
      </x:c>
      <x:c r="L143" t="n">
        <x:f>Trading_Raw!L143</x:f>
        <x:v>5</x:v>
      </x:c>
      <x:c r="M143" t="n">
        <x:f>Trading_Raw!M143</x:f>
        <x:v>1</x:v>
      </x:c>
      <x:c r="N143" t="str">
        <x:f>Trading_Raw!N143</x:f>
        <x:v>Liquidity sweep</x:v>
      </x:c>
      <x:c r="O143" t="str">
        <x:f>Trading_Raw!O143</x:f>
        <x:v>No HTF confirmation</x:v>
      </x:c>
      <x:c r="P143" s="76" t="n">
        <x:f>IF(F143="Long",(H143-G143)/G143*K143*L143,(G143-H143)/G143*K143*L143)-M143</x:f>
        <x:v>-43.877249274237954</x:v>
      </x:c>
      <x:c r="Q143" s="78" t="n">
        <x:f>P143/K143</x:f>
        <x:v>-0.1755089970969518</x:v>
      </x:c>
      <x:c r="R143" s="78" t="n">
        <x:f>IF(F143="Long",(G143-I143)/G143,(I143-G143)/G143)</x:f>
        <x:v>0.017600460726584614</x:v>
      </x:c>
      <x:c r="S143" s="78" t="n">
        <x:f>IF(F143="Long",(J143-G143)/G143,(G143-J143)/G143)</x:f>
        <x:v>0.05159079957218251</x:v>
      </x:c>
      <x:c r="T143" s="80" t="n">
        <x:f>IFERROR(P143/(K143*L143*R143),0)</x:f>
        <x:v>-1.9943682136894776</x:v>
      </x:c>
      <x:c r="U143" t="str">
        <x:f>IF(P143&gt;0,"Win",IF(P143&lt;0,"Loss","Breakeven"))</x:f>
        <x:v>Loss</x:v>
      </x:c>
      <x:c r="V143" s="76" t="n">
        <x:f>SUM($P$5:P143)</x:f>
        <x:v>-396.03213999712636</x:v>
      </x:c>
    </x:row>
    <x:row r="144">
      <x:c r="A144" t="n">
        <x:f>Trading_Raw!A144</x:f>
        <x:v>140</x:v>
      </x:c>
      <x:c r="B144" s="72" t="n">
        <x:f>Trading_Raw!B144</x:f>
        <x:v>46102.208333333336</x:v>
      </x:c>
      <x:c r="C144" t="str">
        <x:f>Trading_Raw!C144</x:f>
        <x:v>FARTCOINUSDT</x:v>
      </x:c>
      <x:c r="D144" t="str">
        <x:f>Trading_Raw!D144</x:f>
        <x:v>OKX</x:v>
      </x:c>
      <x:c r="E144" t="str">
        <x:f>Trading_Raw!E144</x:f>
        <x:v>5m</x:v>
      </x:c>
      <x:c r="F144" t="str">
        <x:f>Trading_Raw!F144</x:f>
        <x:v>Long</x:v>
      </x:c>
      <x:c r="G144" t="n">
        <x:f>Trading_Raw!G144</x:f>
        <x:v>0.16593</x:v>
      </x:c>
      <x:c r="H144" t="n">
        <x:f>Trading_Raw!H144</x:f>
        <x:v>0.165308</x:v>
      </x:c>
      <x:c r="I144" t="n">
        <x:f>Trading_Raw!I144</x:f>
        <x:v>0.163018</x:v>
      </x:c>
      <x:c r="J144" t="n">
        <x:f>Trading_Raw!J144</x:f>
        <x:v>0.169782</x:v>
      </x:c>
      <x:c r="K144" t="n">
        <x:f>Trading_Raw!K144</x:f>
        <x:v>1000</x:v>
      </x:c>
      <x:c r="L144" t="n">
        <x:f>Trading_Raw!L144</x:f>
        <x:v>5</x:v>
      </x:c>
      <x:c r="M144" t="n">
        <x:f>Trading_Raw!M144</x:f>
        <x:v>4</x:v>
      </x:c>
      <x:c r="N144" t="str">
        <x:f>Trading_Raw!N144</x:f>
        <x:v>OB retest</x:v>
      </x:c>
      <x:c r="O144" t="str">
        <x:f>Trading_Raw!O144</x:f>
        <x:v>Late entry</x:v>
      </x:c>
      <x:c r="P144" s="76" t="n">
        <x:f>IF(F144="Long",(H144-G144)/G144*K144*L144,(G144-H144)/G144*K144*L144)-M144</x:f>
        <x:v>-22.742843367684678</x:v>
      </x:c>
      <x:c r="Q144" s="78" t="n">
        <x:f>P144/K144</x:f>
        <x:v>-0.022742843367684677</x:v>
      </x:c>
      <x:c r="R144" s="78" t="n">
        <x:f>IF(F144="Long",(G144-I144)/G144,(I144-G144)/G144)</x:f>
        <x:v>0.017549569095401663</x:v>
      </x:c>
      <x:c r="S144" s="78" t="n">
        <x:f>IF(F144="Long",(J144-G144)/G144,(G144-J144)/G144)</x:f>
        <x:v>0.023214608569878833</x:v>
      </x:c>
      <x:c r="T144" s="80" t="n">
        <x:f>IFERROR(P144/(K144*L144*R144),0)</x:f>
        <x:v>-0.2591840659340605</x:v>
      </x:c>
      <x:c r="U144" t="str">
        <x:f>IF(P144&gt;0,"Win",IF(P144&lt;0,"Loss","Breakeven"))</x:f>
        <x:v>Loss</x:v>
      </x:c>
      <x:c r="V144" s="76" t="n">
        <x:f>SUM($P$5:P144)</x:f>
        <x:v>-418.774983364811</x:v>
      </x:c>
    </x:row>
    <x:row r="145">
      <x:c r="A145" t="n">
        <x:f>Trading_Raw!A145</x:f>
        <x:v>141</x:v>
      </x:c>
      <x:c r="B145" s="72" t="n">
        <x:f>Trading_Raw!B145</x:f>
        <x:v>46112.708333333336</x:v>
      </x:c>
      <x:c r="C145" t="str">
        <x:f>Trading_Raw!C145</x:f>
        <x:v>ADAUSDT</x:v>
      </x:c>
      <x:c r="D145" t="str">
        <x:f>Trading_Raw!D145</x:f>
        <x:v>Binance</x:v>
      </x:c>
      <x:c r="E145" t="str">
        <x:f>Trading_Raw!E145</x:f>
        <x:v>3m</x:v>
      </x:c>
      <x:c r="F145" t="str">
        <x:f>Trading_Raw!F145</x:f>
        <x:v>Short</x:v>
      </x:c>
      <x:c r="G145" t="n">
        <x:f>Trading_Raw!G145</x:f>
        <x:v>0.473772</x:v>
      </x:c>
      <x:c r="H145" t="n">
        <x:f>Trading_Raw!H145</x:f>
        <x:v>0.471169</x:v>
      </x:c>
      <x:c r="I145" t="n">
        <x:f>Trading_Raw!I145</x:f>
        <x:v>0.480514</x:v>
      </x:c>
      <x:c r="J145" t="n">
        <x:f>Trading_Raw!J145</x:f>
        <x:v>0.453967</x:v>
      </x:c>
      <x:c r="K145" t="n">
        <x:f>Trading_Raw!K145</x:f>
        <x:v>300</x:v>
      </x:c>
      <x:c r="L145" t="n">
        <x:f>Trading_Raw!L145</x:f>
        <x:v>1</x:v>
      </x:c>
      <x:c r="M145" t="n">
        <x:f>Trading_Raw!M145</x:f>
        <x:v>0.24</x:v>
      </x:c>
      <x:c r="N145" t="str">
        <x:f>Trading_Raw!N145</x:f>
        <x:v>OB retest</x:v>
      </x:c>
      <x:c r="O145" t="str">
        <x:f>Trading_Raw!O145</x:f>
        <x:v>Late entry</x:v>
      </x:c>
      <x:c r="P145" s="76" t="n">
        <x:f>IF(F145="Long",(H145-G145)/G145*K145*L145,(G145-H145)/G145*K145*L145)-M145</x:f>
        <x:v>1.4082611889263328</x:v>
      </x:c>
      <x:c r="Q145" s="78" t="n">
        <x:f>P145/K145</x:f>
        <x:v>0.004694203963087776</x:v>
      </x:c>
      <x:c r="R145" s="78" t="n">
        <x:f>IF(F145="Long",(G145-I145)/G145,(I145-G145)/G145)</x:f>
        <x:v>0.014230473729979758</x:v>
      </x:c>
      <x:c r="S145" s="78" t="n">
        <x:f>IF(F145="Long",(J145-G145)/G145,(G145-J145)/G145)</x:f>
        <x:v>0.04180280810178739</x:v>
      </x:c>
      <x:c r="T145" s="80" t="n">
        <x:f>IFERROR(P145/(K145*L145*R145),0)</x:f>
        <x:v>0.3298698309107137</x:v>
      </x:c>
      <x:c r="U145" t="str">
        <x:f>IF(P145&gt;0,"Win",IF(P145&lt;0,"Loss","Breakeven"))</x:f>
        <x:v>Win</x:v>
      </x:c>
      <x:c r="V145" s="76" t="n">
        <x:f>SUM($P$5:P145)</x:f>
        <x:v>-417.36672217588466</x:v>
      </x:c>
    </x:row>
    <x:row r="146">
      <x:c r="A146" t="n">
        <x:f>Trading_Raw!A146</x:f>
        <x:v>142</x:v>
      </x:c>
      <x:c r="B146" s="72" t="n">
        <x:f>Trading_Raw!B146</x:f>
        <x:v>46097.833333333336</x:v>
      </x:c>
      <x:c r="C146" t="str">
        <x:f>Trading_Raw!C146</x:f>
        <x:v>BTCUSDT</x:v>
      </x:c>
      <x:c r="D146" t="str">
        <x:f>Trading_Raw!D146</x:f>
        <x:v>OKX</x:v>
      </x:c>
      <x:c r="E146" t="str">
        <x:f>Trading_Raw!E146</x:f>
        <x:v>3m</x:v>
      </x:c>
      <x:c r="F146" t="str">
        <x:f>Trading_Raw!F146</x:f>
        <x:v>Long</x:v>
      </x:c>
      <x:c r="G146" t="n">
        <x:f>Trading_Raw!G146</x:f>
        <x:v>69392.151775</x:v>
      </x:c>
      <x:c r="H146" t="n">
        <x:f>Trading_Raw!H146</x:f>
        <x:v>69311.421173</x:v>
      </x:c>
      <x:c r="I146" t="n">
        <x:f>Trading_Raw!I146</x:f>
        <x:v>68556.745921</x:v>
      </x:c>
      <x:c r="J146" t="n">
        <x:f>Trading_Raw!J146</x:f>
        <x:v>71082.980773</x:v>
      </x:c>
      <x:c r="K146" t="n">
        <x:f>Trading_Raw!K146</x:f>
        <x:v>150</x:v>
      </x:c>
      <x:c r="L146" t="n">
        <x:f>Trading_Raw!L146</x:f>
        <x:v>1</x:v>
      </x:c>
      <x:c r="M146" t="n">
        <x:f>Trading_Raw!M146</x:f>
        <x:v>0.12</x:v>
      </x:c>
      <x:c r="N146" t="str">
        <x:f>Trading_Raw!N146</x:f>
        <x:v>CVD divergence</x:v>
      </x:c>
      <x:c r="O146" t="str">
        <x:f>Trading_Raw!O146</x:f>
        <x:v>Oversized</x:v>
      </x:c>
      <x:c r="P146" s="76" t="n">
        <x:f>IF(F146="Long",(H146-G146)/G146*K146*L146,(G146-H146)/G146*K146*L146)-M146</x:f>
        <x:v>-0.2945095084998405</x:v>
      </x:c>
      <x:c r="Q146" s="78" t="n">
        <x:f>P146/K146</x:f>
        <x:v>-0.00196339672333227</x:v>
      </x:c>
      <x:c r="R146" s="78" t="n">
        <x:f>IF(F146="Long",(G146-I146)/G146,(I146-G146)/G146)</x:f>
        <x:v>0.012038909770499207</x:v>
      </x:c>
      <x:c r="S146" s="78" t="n">
        <x:f>IF(F146="Long",(J146-G146)/G146,(G146-J146)/G146)</x:f>
        <x:v>0.024366285736208488</x:v>
      </x:c>
      <x:c r="T146" s="80" t="n">
        <x:f>IFERROR(P146/(K146*L146*R146),0)</x:f>
        <x:v>-0.16308758523495898</x:v>
      </x:c>
      <x:c r="U146" t="str">
        <x:f>IF(P146&gt;0,"Win",IF(P146&lt;0,"Loss","Breakeven"))</x:f>
        <x:v>Loss</x:v>
      </x:c>
      <x:c r="V146" s="76" t="n">
        <x:f>SUM($P$5:P146)</x:f>
        <x:v>-417.6612316843845</x:v>
      </x:c>
    </x:row>
    <x:row r="147">
      <x:c r="A147" t="n">
        <x:f>Trading_Raw!A147</x:f>
        <x:v>143</x:v>
      </x:c>
      <x:c r="B147" s="72" t="n">
        <x:f>Trading_Raw!B147</x:f>
        <x:v>46053.416666666664</x:v>
      </x:c>
      <x:c r="C147" t="str">
        <x:f>Trading_Raw!C147</x:f>
        <x:v>XRPUSDT</x:v>
      </x:c>
      <x:c r="D147" t="str">
        <x:f>Trading_Raw!D147</x:f>
        <x:v>OKX</x:v>
      </x:c>
      <x:c r="E147" t="str">
        <x:f>Trading_Raw!E147</x:f>
        <x:v>3m</x:v>
      </x:c>
      <x:c r="F147" t="str">
        <x:f>Trading_Raw!F147</x:f>
        <x:v>Short</x:v>
      </x:c>
      <x:c r="G147" t="n">
        <x:f>Trading_Raw!G147</x:f>
        <x:v>0.568346</x:v>
      </x:c>
      <x:c r="H147" t="n">
        <x:f>Trading_Raw!H147</x:f>
        <x:v>0.574499</x:v>
      </x:c>
      <x:c r="I147" t="n">
        <x:f>Trading_Raw!I147</x:f>
        <x:v>0.573839</x:v>
      </x:c>
      <x:c r="J147" t="n">
        <x:f>Trading_Raw!J147</x:f>
        <x:v>0.558548</x:v>
      </x:c>
      <x:c r="K147" t="n">
        <x:f>Trading_Raw!K147</x:f>
        <x:v>100</x:v>
      </x:c>
      <x:c r="L147" t="n">
        <x:f>Trading_Raw!L147</x:f>
        <x:v>3</x:v>
      </x:c>
      <x:c r="M147" t="n">
        <x:f>Trading_Raw!M147</x:f>
        <x:v>0.24</x:v>
      </x:c>
      <x:c r="N147" t="str">
        <x:f>Trading_Raw!N147</x:f>
        <x:v>Trend continuation</x:v>
      </x:c>
      <x:c r="O147" t="str">
        <x:f>Trading_Raw!O147</x:f>
        <x:v>Late entry</x:v>
      </x:c>
      <x:c r="P147" s="76" t="n">
        <x:f>IF(F147="Long",(H147-G147)/G147*K147*L147,(G147-H147)/G147*K147*L147)-M147</x:f>
        <x:v>-3.4878455025635597</x:v>
      </x:c>
      <x:c r="Q147" s="78" t="n">
        <x:f>P147/K147</x:f>
        <x:v>-0.0348784550256356</x:v>
      </x:c>
      <x:c r="R147" s="78" t="n">
        <x:f>IF(F147="Long",(G147-I147)/G147,(I147-G147)/G147)</x:f>
        <x:v>0.009664887234184757</x:v>
      </x:c>
      <x:c r="S147" s="78" t="n">
        <x:f>IF(F147="Long",(J147-G147)/G147,(G147-J147)/G147)</x:f>
        <x:v>0.017239498474520755</x:v>
      </x:c>
      <x:c r="T147" s="80" t="n">
        <x:f>IFERROR(P147/(K147*L147*R147),0)</x:f>
        <x:v>-1.2029267795375933</x:v>
      </x:c>
      <x:c r="U147" t="str">
        <x:f>IF(P147&gt;0,"Win",IF(P147&lt;0,"Loss","Breakeven"))</x:f>
        <x:v>Loss</x:v>
      </x:c>
      <x:c r="V147" s="76" t="n">
        <x:f>SUM($P$5:P147)</x:f>
        <x:v>-421.1490771869481</x:v>
      </x:c>
    </x:row>
    <x:row r="148">
      <x:c r="A148" t="n">
        <x:f>Trading_Raw!A148</x:f>
        <x:v>144</x:v>
      </x:c>
      <x:c r="B148" s="72" t="n">
        <x:f>Trading_Raw!B148</x:f>
        <x:v>46159.041666666664</x:v>
      </x:c>
      <x:c r="C148" t="str">
        <x:f>Trading_Raw!C148</x:f>
        <x:v>FARTCOINUSDT</x:v>
      </x:c>
      <x:c r="D148" t="str">
        <x:f>Trading_Raw!D148</x:f>
        <x:v>OKX</x:v>
      </x:c>
      <x:c r="E148" t="str">
        <x:f>Trading_Raw!E148</x:f>
        <x:v>3m</x:v>
      </x:c>
      <x:c r="F148" t="str">
        <x:f>Trading_Raw!F148</x:f>
        <x:v>Short</x:v>
      </x:c>
      <x:c r="G148" t="n">
        <x:f>Trading_Raw!G148</x:f>
        <x:v>0.136187</x:v>
      </x:c>
      <x:c r="H148" t="n">
        <x:f>Trading_Raw!H148</x:f>
        <x:v>0.142105</x:v>
      </x:c>
      <x:c r="I148" t="n">
        <x:f>Trading_Raw!I148</x:f>
        <x:v>0.13948</x:v>
      </x:c>
      <x:c r="J148" t="n">
        <x:f>Trading_Raw!J148</x:f>
        <x:v>0.132548</x:v>
      </x:c>
      <x:c r="K148" t="n">
        <x:f>Trading_Raw!K148</x:f>
        <x:v>150</x:v>
      </x:c>
      <x:c r="L148" t="n">
        <x:f>Trading_Raw!L148</x:f>
        <x:v>2</x:v>
      </x:c>
      <x:c r="M148" t="n">
        <x:f>Trading_Raw!M148</x:f>
        <x:v>0.24</x:v>
      </x:c>
      <x:c r="N148" t="str">
        <x:f>Trading_Raw!N148</x:f>
        <x:v>Trend continuation</x:v>
      </x:c>
      <x:c r="O148" t="str">
        <x:f>Trading_Raw!O148</x:f>
        <x:v>Oversized</x:v>
      </x:c>
      <x:c r="P148" s="76" t="n">
        <x:f>IF(F148="Long",(H148-G148)/G148*K148*L148,(G148-H148)/G148*K148*L148)-M148</x:f>
        <x:v>-13.276486595636895</x:v>
      </x:c>
      <x:c r="Q148" s="78" t="n">
        <x:f>P148/K148</x:f>
        <x:v>-0.08850991063757929</x:v>
      </x:c>
      <x:c r="R148" s="78" t="n">
        <x:f>IF(F148="Long",(G148-I148)/G148,(I148-G148)/G148)</x:f>
        <x:v>0.02417998781087762</x:v>
      </x:c>
      <x:c r="S148" s="78" t="n">
        <x:f>IF(F148="Long",(J148-G148)/G148,(G148-J148)/G148)</x:f>
        <x:v>0.026720612099539628</x:v>
      </x:c>
      <x:c r="T148" s="80" t="n">
        <x:f>IFERROR(P148/(K148*L148*R148),0)</x:f>
        <x:v>-1.830230671120566</x:v>
      </x:c>
      <x:c r="U148" t="str">
        <x:f>IF(P148&gt;0,"Win",IF(P148&lt;0,"Loss","Breakeven"))</x:f>
        <x:v>Loss</x:v>
      </x:c>
      <x:c r="V148" s="76" t="n">
        <x:f>SUM($P$5:P148)</x:f>
        <x:v>-434.42556378258496</x:v>
      </x:c>
    </x:row>
    <x:row r="149">
      <x:c r="A149" t="n">
        <x:f>Trading_Raw!A149</x:f>
        <x:v>145</x:v>
      </x:c>
      <x:c r="B149" s="72" t="n">
        <x:f>Trading_Raw!B149</x:f>
        <x:v>46107.5</x:v>
      </x:c>
      <x:c r="C149" t="str">
        <x:f>Trading_Raw!C149</x:f>
        <x:v>BTCUSDT</x:v>
      </x:c>
      <x:c r="D149" t="str">
        <x:f>Trading_Raw!D149</x:f>
        <x:v>OKX</x:v>
      </x:c>
      <x:c r="E149" t="str">
        <x:f>Trading_Raw!E149</x:f>
        <x:v>15m</x:v>
      </x:c>
      <x:c r="F149" t="str">
        <x:f>Trading_Raw!F149</x:f>
        <x:v>Long</x:v>
      </x:c>
      <x:c r="G149" t="n">
        <x:f>Trading_Raw!G149</x:f>
        <x:v>76749.595809</x:v>
      </x:c>
      <x:c r="H149" t="n">
        <x:f>Trading_Raw!H149</x:f>
        <x:v>74765.627063</x:v>
      </x:c>
      <x:c r="I149" t="n">
        <x:f>Trading_Raw!I149</x:f>
        <x:v>75166.820361</x:v>
      </x:c>
      <x:c r="J149" t="n">
        <x:f>Trading_Raw!J149</x:f>
        <x:v>77901.036981</x:v>
      </x:c>
      <x:c r="K149" t="n">
        <x:f>Trading_Raw!K149</x:f>
        <x:v>200</x:v>
      </x:c>
      <x:c r="L149" t="n">
        <x:f>Trading_Raw!L149</x:f>
        <x:v>2</x:v>
      </x:c>
      <x:c r="M149" t="n">
        <x:f>Trading_Raw!M149</x:f>
        <x:v>0.32</x:v>
      </x:c>
      <x:c r="N149" t="str">
        <x:f>Trading_Raw!N149</x:f>
        <x:v>VWAP reclaim</x:v>
      </x:c>
      <x:c r="O149" t="str">
        <x:f>Trading_Raw!O149</x:f>
        <x:v>Moved SL</x:v>
      </x:c>
      <x:c r="P149" s="76" t="n">
        <x:f>IF(F149="Long",(H149-G149)/G149*K149*L149,(G149-H149)/G149*K149*L149)-M149</x:f>
        <x:v>-10.659956712930855</x:v>
      </x:c>
      <x:c r="Q149" s="78" t="n">
        <x:f>P149/K149</x:f>
        <x:v>-0.05329978356465428</x:v>
      </x:c>
      <x:c r="R149" s="78" t="n">
        <x:f>IF(F149="Long",(G149-I149)/G149,(I149-G149)/G149)</x:f>
        <x:v>0.02062259001257694</x:v>
      </x:c>
      <x:c r="S149" s="78" t="n">
        <x:f>IF(F149="Long",(J149-G149)/G149,(G149-J149)/G149)</x:f>
        <x:v>0.015002569848908161</x:v>
      </x:c>
      <x:c r="T149" s="80" t="n">
        <x:f>IFERROR(P149/(K149*L149*R149),0)</x:f>
        <x:v>-1.292266963852473</x:v>
      </x:c>
      <x:c r="U149" t="str">
        <x:f>IF(P149&gt;0,"Win",IF(P149&lt;0,"Loss","Breakeven"))</x:f>
        <x:v>Loss</x:v>
      </x:c>
      <x:c r="V149" s="76" t="n">
        <x:f>SUM($P$5:P149)</x:f>
        <x:v>-445.0855204955158</x:v>
      </x:c>
    </x:row>
    <x:row r="150">
      <x:c r="A150" t="n">
        <x:f>Trading_Raw!A150</x:f>
        <x:v>146</x:v>
      </x:c>
      <x:c r="B150" s="72" t="n">
        <x:f>Trading_Raw!B150</x:f>
        <x:v>46100.833333333336</x:v>
      </x:c>
      <x:c r="C150" t="str">
        <x:f>Trading_Raw!C150</x:f>
        <x:v>SOLUSDT</x:v>
      </x:c>
      <x:c r="D150" t="str">
        <x:f>Trading_Raw!D150</x:f>
        <x:v>Bybit</x:v>
      </x:c>
      <x:c r="E150" t="str">
        <x:f>Trading_Raw!E150</x:f>
        <x:v>15m</x:v>
      </x:c>
      <x:c r="F150" t="str">
        <x:f>Trading_Raw!F150</x:f>
        <x:v>Short</x:v>
      </x:c>
      <x:c r="G150" t="n">
        <x:f>Trading_Raw!G150</x:f>
        <x:v>142.692921</x:v>
      </x:c>
      <x:c r="H150" t="n">
        <x:f>Trading_Raw!H150</x:f>
        <x:v>143.635129</x:v>
      </x:c>
      <x:c r="I150" t="n">
        <x:f>Trading_Raw!I150</x:f>
        <x:v>144.790358</x:v>
      </x:c>
      <x:c r="J150" t="n">
        <x:f>Trading_Raw!J150</x:f>
        <x:v>137.441297</x:v>
      </x:c>
      <x:c r="K150" t="n">
        <x:f>Trading_Raw!K150</x:f>
        <x:v>300</x:v>
      </x:c>
      <x:c r="L150" t="n">
        <x:f>Trading_Raw!L150</x:f>
        <x:v>2</x:v>
      </x:c>
      <x:c r="M150" t="n">
        <x:f>Trading_Raw!M150</x:f>
        <x:v>0.48</x:v>
      </x:c>
      <x:c r="N150" t="str">
        <x:f>Trading_Raw!N150</x:f>
        <x:v>OB retest</x:v>
      </x:c>
      <x:c r="O150" t="str">
        <x:f>Trading_Raw!O150</x:f>
        <x:v>Oversized</x:v>
      </x:c>
      <x:c r="P150" s="76" t="n">
        <x:f>IF(F150="Long",(H150-G150)/G150*K150*L150,(G150-H150)/G150*K150*L150)-M150</x:f>
        <x:v>-4.44182793118375</x:v>
      </x:c>
      <x:c r="Q150" s="78" t="n">
        <x:f>P150/K150</x:f>
        <x:v>-0.014806093103945832</x:v>
      </x:c>
      <x:c r="R150" s="78" t="n">
        <x:f>IF(F150="Long",(G150-I150)/G150,(I150-G150)/G150)</x:f>
        <x:v>0.014698956229230075</x:v>
      </x:c>
      <x:c r="S150" s="78" t="n">
        <x:f>IF(F150="Long",(J150-G150)/G150,(G150-J150)/G150)</x:f>
        <x:v>0.03680367577589935</x:v>
      </x:c>
      <x:c r="T150" s="80" t="n">
        <x:f>IFERROR(P150/(K150*L150*R150),0)</x:f>
        <x:v>-0.5036443701527156</x:v>
      </x:c>
      <x:c r="U150" t="str">
        <x:f>IF(P150&gt;0,"Win",IF(P150&lt;0,"Loss","Breakeven"))</x:f>
        <x:v>Loss</x:v>
      </x:c>
      <x:c r="V150" s="76" t="n">
        <x:f>SUM($P$5:P150)</x:f>
        <x:v>-449.5273484266996</x:v>
      </x:c>
    </x:row>
    <x:row r="151">
      <x:c r="A151" t="n">
        <x:f>Trading_Raw!A151</x:f>
        <x:v>147</x:v>
      </x:c>
      <x:c r="B151" s="72" t="n">
        <x:f>Trading_Raw!B151</x:f>
        <x:v>46045.291666666664</x:v>
      </x:c>
      <x:c r="C151" t="str">
        <x:f>Trading_Raw!C151</x:f>
        <x:v>BNBUSDT</x:v>
      </x:c>
      <x:c r="D151" t="str">
        <x:f>Trading_Raw!D151</x:f>
        <x:v>OKX</x:v>
      </x:c>
      <x:c r="E151" t="str">
        <x:f>Trading_Raw!E151</x:f>
        <x:v>5m</x:v>
      </x:c>
      <x:c r="F151" t="str">
        <x:f>Trading_Raw!F151</x:f>
        <x:v>Long</x:v>
      </x:c>
      <x:c r="G151" t="n">
        <x:f>Trading_Raw!G151</x:f>
        <x:v>637.351205</x:v>
      </x:c>
      <x:c r="H151" t="n">
        <x:f>Trading_Raw!H151</x:f>
        <x:v>622.938792</x:v>
      </x:c>
      <x:c r="I151" t="n">
        <x:f>Trading_Raw!I151</x:f>
        <x:v>621.707986</x:v>
      </x:c>
      <x:c r="J151" t="n">
        <x:f>Trading_Raw!J151</x:f>
        <x:v>648.037976</x:v>
      </x:c>
      <x:c r="K151" t="n">
        <x:f>Trading_Raw!K151</x:f>
        <x:v>300</x:v>
      </x:c>
      <x:c r="L151" t="n">
        <x:f>Trading_Raw!L151</x:f>
        <x:v>2</x:v>
      </x:c>
      <x:c r="M151" t="n">
        <x:f>Trading_Raw!M151</x:f>
        <x:v>0.48</x:v>
      </x:c>
      <x:c r="N151" t="str">
        <x:f>Trading_Raw!N151</x:f>
        <x:v>Liquidity sweep</x:v>
      </x:c>
      <x:c r="O151" t="str">
        <x:f>Trading_Raw!O151</x:f>
        <x:v>Ignored funding</x:v>
      </x:c>
      <x:c r="P151" s="76" t="n">
        <x:f>IF(F151="Long",(H151-G151)/G151*K151*L151,(G151-H151)/G151*K151*L151)-M151</x:f>
        <x:v>-14.047790775574056</x:v>
      </x:c>
      <x:c r="Q151" s="78" t="n">
        <x:f>P151/K151</x:f>
        <x:v>-0.04682596925191352</x:v>
      </x:c>
      <x:c r="R151" s="78" t="n">
        <x:f>IF(F151="Long",(G151-I151)/G151,(I151-G151)/G151)</x:f>
        <x:v>0.02454411143695891</x:v>
      </x:c>
      <x:c r="S151" s="78" t="n">
        <x:f>IF(F151="Long",(J151-G151)/G151,(G151-J151)/G151)</x:f>
        <x:v>0.016767475947582003</x:v>
      </x:c>
      <x:c r="T151" s="80" t="n">
        <x:f>IFERROR(P151/(K151*L151*R151),0)</x:f>
        <x:v>-0.9539145340866207</x:v>
      </x:c>
      <x:c r="U151" t="str">
        <x:f>IF(P151&gt;0,"Win",IF(P151&lt;0,"Loss","Breakeven"))</x:f>
        <x:v>Loss</x:v>
      </x:c>
      <x:c r="V151" s="76" t="n">
        <x:f>SUM($P$5:P151)</x:f>
        <x:v>-463.57513920227365</x:v>
      </x:c>
    </x:row>
    <x:row r="152">
      <x:c r="A152" t="n">
        <x:f>Trading_Raw!A152</x:f>
        <x:v>148</x:v>
      </x:c>
      <x:c r="B152" s="72" t="n">
        <x:f>Trading_Raw!B152</x:f>
        <x:v>46168.416666666664</x:v>
      </x:c>
      <x:c r="C152" t="str">
        <x:f>Trading_Raw!C152</x:f>
        <x:v>BTCUSDT</x:v>
      </x:c>
      <x:c r="D152" t="str">
        <x:f>Trading_Raw!D152</x:f>
        <x:v>Bybit</x:v>
      </x:c>
      <x:c r="E152" t="str">
        <x:f>Trading_Raw!E152</x:f>
        <x:v>5m</x:v>
      </x:c>
      <x:c r="F152" t="str">
        <x:f>Trading_Raw!F152</x:f>
        <x:v>Long</x:v>
      </x:c>
      <x:c r="G152" t="n">
        <x:f>Trading_Raw!G152</x:f>
        <x:v>70611.395109</x:v>
      </x:c>
      <x:c r="H152" t="n">
        <x:f>Trading_Raw!H152</x:f>
        <x:v>73849.315689</x:v>
      </x:c>
      <x:c r="I152" t="n">
        <x:f>Trading_Raw!I152</x:f>
        <x:v>69175.118832</x:v>
      </x:c>
      <x:c r="J152" t="n">
        <x:f>Trading_Raw!J152</x:f>
        <x:v>72150.203622</x:v>
      </x:c>
      <x:c r="K152" t="n">
        <x:f>Trading_Raw!K152</x:f>
        <x:v>200</x:v>
      </x:c>
      <x:c r="L152" t="n">
        <x:f>Trading_Raw!L152</x:f>
        <x:v>1</x:v>
      </x:c>
      <x:c r="M152" t="n">
        <x:f>Trading_Raw!M152</x:f>
        <x:v>0.16</x:v>
      </x:c>
      <x:c r="N152" t="str">
        <x:f>Trading_Raw!N152</x:f>
        <x:v>CVD divergence</x:v>
      </x:c>
      <x:c r="O152" t="str">
        <x:f>Trading_Raw!O152</x:f>
        <x:v>Moved SL</x:v>
      </x:c>
      <x:c r="P152" s="76" t="n">
        <x:f>IF(F152="Long",(H152-G152)/G152*K152*L152,(G152-H152)/G152*K152*L152)-M152</x:f>
        <x:v>9.011099296372041</x:v>
      </x:c>
      <x:c r="Q152" s="78" t="n">
        <x:f>P152/K152</x:f>
        <x:v>0.045055496481860205</x:v>
      </x:c>
      <x:c r="R152" s="78" t="n">
        <x:f>IF(F152="Long",(G152-I152)/G152,(I152-G152)/G152)</x:f>
        <x:v>0.020340573568655443</x:v>
      </x:c>
      <x:c r="S152" s="78" t="n">
        <x:f>IF(F152="Long",(J152-G152)/G152,(G152-J152)/G152)</x:f>
        <x:v>0.02179263716039881</x:v>
      </x:c>
      <x:c r="T152" s="80" t="n">
        <x:f>IFERROR(P152/(K152*L152*R152),0)</x:f>
        <x:v>2.215055358679272</x:v>
      </x:c>
      <x:c r="U152" t="str">
        <x:f>IF(P152&gt;0,"Win",IF(P152&lt;0,"Loss","Breakeven"))</x:f>
        <x:v>Win</x:v>
      </x:c>
      <x:c r="V152" s="76" t="n">
        <x:f>SUM($P$5:P152)</x:f>
        <x:v>-454.5640399059016</x:v>
      </x:c>
    </x:row>
    <x:row r="153">
      <x:c r="A153" t="n">
        <x:f>Trading_Raw!A153</x:f>
        <x:v>149</x:v>
      </x:c>
      <x:c r="B153" s="72" t="n">
        <x:f>Trading_Raw!B153</x:f>
        <x:v>46079.666666666664</x:v>
      </x:c>
      <x:c r="C153" t="str">
        <x:f>Trading_Raw!C153</x:f>
        <x:v>ADAUSDT</x:v>
      </x:c>
      <x:c r="D153" t="str">
        <x:f>Trading_Raw!D153</x:f>
        <x:v>OKX</x:v>
      </x:c>
      <x:c r="E153" t="str">
        <x:f>Trading_Raw!E153</x:f>
        <x:v>5m</x:v>
      </x:c>
      <x:c r="F153" t="str">
        <x:f>Trading_Raw!F153</x:f>
        <x:v>Short</x:v>
      </x:c>
      <x:c r="G153" t="n">
        <x:f>Trading_Raw!G153</x:f>
        <x:v>0.466061</x:v>
      </x:c>
      <x:c r="H153" t="n">
        <x:f>Trading_Raw!H153</x:f>
        <x:v>0.469121</x:v>
      </x:c>
      <x:c r="I153" t="n">
        <x:f>Trading_Raw!I153</x:f>
        <x:v>0.475086</x:v>
      </x:c>
      <x:c r="J153" t="n">
        <x:f>Trading_Raw!J153</x:f>
        <x:v>0.449235</x:v>
      </x:c>
      <x:c r="K153" t="n">
        <x:f>Trading_Raw!K153</x:f>
        <x:v>750</x:v>
      </x:c>
      <x:c r="L153" t="n">
        <x:f>Trading_Raw!L153</x:f>
        <x:v>10</x:v>
      </x:c>
      <x:c r="M153" t="n">
        <x:f>Trading_Raw!M153</x:f>
        <x:v>6</x:v>
      </x:c>
      <x:c r="N153" t="str">
        <x:f>Trading_Raw!N153</x:f>
        <x:v>VWAP reclaim</x:v>
      </x:c>
      <x:c r="O153" t="str">
        <x:f>Trading_Raw!O153</x:f>
        <x:v>Oversized</x:v>
      </x:c>
      <x:c r="P153" s="76" t="n">
        <x:f>IF(F153="Long",(H153-G153)/G153*K153*L153,(G153-H153)/G153*K153*L153)-M153</x:f>
        <x:v>-55.24248113444389</x:v>
      </x:c>
      <x:c r="Q153" s="78" t="n">
        <x:f>P153/K153</x:f>
        <x:v>-0.07365664151259185</x:v>
      </x:c>
      <x:c r="R153" s="78" t="n">
        <x:f>IF(F153="Long",(G153-I153)/G153,(I153-G153)/G153)</x:f>
        <x:v>0.01936441796245557</x:v>
      </x:c>
      <x:c r="S153" s="78" t="n">
        <x:f>IF(F153="Long",(J153-G153)/G153,(G153-J153)/G153)</x:f>
        <x:v>0.03610257026440746</x:v>
      </x:c>
      <x:c r="T153" s="80" t="n">
        <x:f>IFERROR(P153/(K153*L153*R153),0)</x:f>
        <x:v>-0.3803710581717458</x:v>
      </x:c>
      <x:c r="U153" t="str">
        <x:f>IF(P153&gt;0,"Win",IF(P153&lt;0,"Loss","Breakeven"))</x:f>
        <x:v>Loss</x:v>
      </x:c>
      <x:c r="V153" s="76" t="n">
        <x:f>SUM($P$5:P153)</x:f>
        <x:v>-509.8065210403455</x:v>
      </x:c>
    </x:row>
    <x:row r="154">
      <x:c r="A154" t="n">
        <x:f>Trading_Raw!A154</x:f>
        <x:v>150</x:v>
      </x:c>
      <x:c r="B154" s="72" t="n">
        <x:f>Trading_Raw!B154</x:f>
        <x:v>46057.083333333336</x:v>
      </x:c>
      <x:c r="C154" t="str">
        <x:f>Trading_Raw!C154</x:f>
        <x:v>BTCUSDT</x:v>
      </x:c>
      <x:c r="D154" t="str">
        <x:f>Trading_Raw!D154</x:f>
        <x:v>Bybit</x:v>
      </x:c>
      <x:c r="E154" t="str">
        <x:f>Trading_Raw!E154</x:f>
        <x:v>15m</x:v>
      </x:c>
      <x:c r="F154" t="str">
        <x:f>Trading_Raw!F154</x:f>
        <x:v>Long</x:v>
      </x:c>
      <x:c r="G154" t="n">
        <x:f>Trading_Raw!G154</x:f>
        <x:v>64494.6398</x:v>
      </x:c>
      <x:c r="H154" t="n">
        <x:f>Trading_Raw!H154</x:f>
        <x:v>64081.748278</x:v>
      </x:c>
      <x:c r="I154" t="n">
        <x:f>Trading_Raw!I154</x:f>
        <x:v>63032.878956</x:v>
      </x:c>
      <x:c r="J154" t="n">
        <x:f>Trading_Raw!J154</x:f>
        <x:v>67889.838209</x:v>
      </x:c>
      <x:c r="K154" t="n">
        <x:f>Trading_Raw!K154</x:f>
        <x:v>1000</x:v>
      </x:c>
      <x:c r="L154" t="n">
        <x:f>Trading_Raw!L154</x:f>
        <x:v>2</x:v>
      </x:c>
      <x:c r="M154" t="n">
        <x:f>Trading_Raw!M154</x:f>
        <x:v>1.6</x:v>
      </x:c>
      <x:c r="N154" t="str">
        <x:f>Trading_Raw!N154</x:f>
        <x:v>Trend continuation</x:v>
      </x:c>
      <x:c r="O154" t="str">
        <x:f>Trading_Raw!O154</x:f>
        <x:v>Oversized</x:v>
      </x:c>
      <x:c r="P154" s="76" t="n">
        <x:f>IF(F154="Long",(H154-G154)/G154*K154*L154,(G154-H154)/G154*K154*L154)-M154</x:f>
        <x:v>-14.403901945351993</x:v>
      </x:c>
      <x:c r="Q154" s="78" t="n">
        <x:f>P154/K154</x:f>
        <x:v>-0.014403901945351993</x:v>
      </x:c>
      <x:c r="R154" s="78" t="n">
        <x:f>IF(F154="Long",(G154-I154)/G154,(I154-G154)/G154)</x:f>
        <x:v>0.02266484235795355</x:v>
      </x:c>
      <x:c r="S154" s="78" t="n">
        <x:f>IF(F154="Long",(J154-G154)/G154,(G154-J154)/G154)</x:f>
        <x:v>0.052643109869729005</x:v>
      </x:c>
      <x:c r="T154" s="80" t="n">
        <x:f>IFERROR(P154/(K154*L154*R154),0)</x:f>
        <x:v>-0.31775870570521253</x:v>
      </x:c>
      <x:c r="U154" t="str">
        <x:f>IF(P154&gt;0,"Win",IF(P154&lt;0,"Loss","Breakeven"))</x:f>
        <x:v>Loss</x:v>
      </x:c>
      <x:c r="V154" s="76" t="n">
        <x:f>SUM($P$5:P154)</x:f>
        <x:v>-524.2104229856975</x:v>
      </x:c>
    </x:row>
    <x:row r="155">
      <x:c r="A155" t="n">
        <x:f>Trading_Raw!A155</x:f>
        <x:v>151</x:v>
      </x:c>
      <x:c r="B155" s="72" t="n">
        <x:f>Trading_Raw!B155</x:f>
        <x:v>46133.25</x:v>
      </x:c>
      <x:c r="C155" t="str">
        <x:f>Trading_Raw!C155</x:f>
        <x:v>WLFIUSDT</x:v>
      </x:c>
      <x:c r="D155" t="str">
        <x:f>Trading_Raw!D155</x:f>
        <x:v>Bybit</x:v>
      </x:c>
      <x:c r="E155" t="str">
        <x:f>Trading_Raw!E155</x:f>
        <x:v>5m</x:v>
      </x:c>
      <x:c r="F155" t="str">
        <x:f>Trading_Raw!F155</x:f>
        <x:v>Long</x:v>
      </x:c>
      <x:c r="G155" t="n">
        <x:f>Trading_Raw!G155</x:f>
        <x:v>0.057571</x:v>
      </x:c>
      <x:c r="H155" t="n">
        <x:f>Trading_Raw!H155</x:f>
        <x:v>0.057388</x:v>
      </x:c>
      <x:c r="I155" t="n">
        <x:f>Trading_Raw!I155</x:f>
        <x:v>0.056762</x:v>
      </x:c>
      <x:c r="J155" t="n">
        <x:f>Trading_Raw!J155</x:f>
        <x:v>0.058863</x:v>
      </x:c>
      <x:c r="K155" t="n">
        <x:f>Trading_Raw!K155</x:f>
        <x:v>750</x:v>
      </x:c>
      <x:c r="L155" t="n">
        <x:f>Trading_Raw!L155</x:f>
        <x:v>2</x:v>
      </x:c>
      <x:c r="M155" t="n">
        <x:f>Trading_Raw!M155</x:f>
        <x:v>1.2</x:v>
      </x:c>
      <x:c r="N155" t="str">
        <x:f>Trading_Raw!N155</x:f>
        <x:v>Liquidity sweep</x:v>
      </x:c>
      <x:c r="O155" t="str">
        <x:f>Trading_Raw!O155</x:f>
        <x:v>None</x:v>
      </x:c>
      <x:c r="P155" s="76" t="n">
        <x:f>IF(F155="Long",(H155-G155)/G155*K155*L155,(G155-H155)/G155*K155*L155)-M155</x:f>
        <x:v>-5.968025568428437</x:v>
      </x:c>
      <x:c r="Q155" s="78" t="n">
        <x:f>P155/K155</x:f>
        <x:v>-0.00795736742457125</x:v>
      </x:c>
      <x:c r="R155" s="78" t="n">
        <x:f>IF(F155="Long",(G155-I155)/G155,(I155-G155)/G155)</x:f>
        <x:v>0.014052213788191924</x:v>
      </x:c>
      <x:c r="S155" s="78" t="n">
        <x:f>IF(F155="Long",(J155-G155)/G155,(G155-J155)/G155)</x:f>
        <x:v>0.02244185440586409</x:v>
      </x:c>
      <x:c r="T155" s="80" t="n">
        <x:f>IFERROR(P155/(K155*L155*R155),0)</x:f>
        <x:v>-0.2831357231149524</x:v>
      </x:c>
      <x:c r="U155" t="str">
        <x:f>IF(P155&gt;0,"Win",IF(P155&lt;0,"Loss","Breakeven"))</x:f>
        <x:v>Loss</x:v>
      </x:c>
      <x:c r="V155" s="76" t="n">
        <x:f>SUM($P$5:P155)</x:f>
        <x:v>-530.1784485541259</x:v>
      </x:c>
    </x:row>
    <x:row r="156">
      <x:c r="A156" t="n">
        <x:f>Trading_Raw!A156</x:f>
        <x:v>152</x:v>
      </x:c>
      <x:c r="B156" s="72" t="n">
        <x:f>Trading_Raw!B156</x:f>
        <x:v>46124.125</x:v>
      </x:c>
      <x:c r="C156" t="str">
        <x:f>Trading_Raw!C156</x:f>
        <x:v>ADAUSDT</x:v>
      </x:c>
      <x:c r="D156" t="str">
        <x:f>Trading_Raw!D156</x:f>
        <x:v>Binance</x:v>
      </x:c>
      <x:c r="E156" t="str">
        <x:f>Trading_Raw!E156</x:f>
        <x:v>5m</x:v>
      </x:c>
      <x:c r="F156" t="str">
        <x:f>Trading_Raw!F156</x:f>
        <x:v>Short</x:v>
      </x:c>
      <x:c r="G156" t="n">
        <x:f>Trading_Raw!G156</x:f>
        <x:v>0.540556</x:v>
      </x:c>
      <x:c r="H156" t="n">
        <x:f>Trading_Raw!H156</x:f>
        <x:v>0.525593</x:v>
      </x:c>
      <x:c r="I156" t="n">
        <x:f>Trading_Raw!I156</x:f>
        <x:v>0.549594</x:v>
      </x:c>
      <x:c r="J156" t="n">
        <x:f>Trading_Raw!J156</x:f>
        <x:v>0.51909</x:v>
      </x:c>
      <x:c r="K156" t="n">
        <x:f>Trading_Raw!K156</x:f>
        <x:v>100</x:v>
      </x:c>
      <x:c r="L156" t="n">
        <x:f>Trading_Raw!L156</x:f>
        <x:v>3</x:v>
      </x:c>
      <x:c r="M156" t="n">
        <x:f>Trading_Raw!M156</x:f>
        <x:v>0.24</x:v>
      </x:c>
      <x:c r="N156" t="str">
        <x:f>Trading_Raw!N156</x:f>
        <x:v>Range deviation</x:v>
      </x:c>
      <x:c r="O156" t="str">
        <x:f>Trading_Raw!O156</x:f>
        <x:v>No HTF confirmation</x:v>
      </x:c>
      <x:c r="P156" s="76" t="n">
        <x:f>IF(F156="Long",(H156-G156)/G156*K156*L156,(G156-H156)/G156*K156*L156)-M156</x:f>
        <x:v>8.064227499093557</x:v>
      </x:c>
      <x:c r="Q156" s="78" t="n">
        <x:f>P156/K156</x:f>
        <x:v>0.08064227499093557</x:v>
      </x:c>
      <x:c r="R156" s="78" t="n">
        <x:f>IF(F156="Long",(G156-I156)/G156,(I156-G156)/G156)</x:f>
        <x:v>0.016719821813096128</x:v>
      </x:c>
      <x:c r="S156" s="78" t="n">
        <x:f>IF(F156="Long",(J156-G156)/G156,(G156-J156)/G156)</x:f>
        <x:v>0.03971096426642195</x:v>
      </x:c>
      <x:c r="T156" s="80" t="n">
        <x:f>IFERROR(P156/(K156*L156*R156),0)</x:f>
        <x:v>1.6077179907059163</x:v>
      </x:c>
      <x:c r="U156" t="str">
        <x:f>IF(P156&gt;0,"Win",IF(P156&lt;0,"Loss","Breakeven"))</x:f>
        <x:v>Win</x:v>
      </x:c>
      <x:c r="V156" s="76" t="n">
        <x:f>SUM($P$5:P156)</x:f>
        <x:v>-522.1142210550323</x:v>
      </x:c>
    </x:row>
    <x:row r="157">
      <x:c r="A157" t="n">
        <x:f>Trading_Raw!A157</x:f>
        <x:v>153</x:v>
      </x:c>
      <x:c r="B157" s="72" t="n">
        <x:f>Trading_Raw!B157</x:f>
        <x:v>46053.416666666664</x:v>
      </x:c>
      <x:c r="C157" t="str">
        <x:f>Trading_Raw!C157</x:f>
        <x:v>BNBUSDT</x:v>
      </x:c>
      <x:c r="D157" t="str">
        <x:f>Trading_Raw!D157</x:f>
        <x:v>OKX</x:v>
      </x:c>
      <x:c r="E157" t="str">
        <x:f>Trading_Raw!E157</x:f>
        <x:v>3m</x:v>
      </x:c>
      <x:c r="F157" t="str">
        <x:f>Trading_Raw!F157</x:f>
        <x:v>Short</x:v>
      </x:c>
      <x:c r="G157" t="n">
        <x:f>Trading_Raw!G157</x:f>
        <x:v>514.95915</x:v>
      </x:c>
      <x:c r="H157" t="n">
        <x:f>Trading_Raw!H157</x:f>
        <x:v>525.747042</x:v>
      </x:c>
      <x:c r="I157" t="n">
        <x:f>Trading_Raw!I157</x:f>
        <x:v>527.657598</x:v>
      </x:c>
      <x:c r="J157" t="n">
        <x:f>Trading_Raw!J157</x:f>
        <x:v>487.44925</x:v>
      </x:c>
      <x:c r="K157" t="n">
        <x:f>Trading_Raw!K157</x:f>
        <x:v>250</x:v>
      </x:c>
      <x:c r="L157" t="n">
        <x:f>Trading_Raw!L157</x:f>
        <x:v>2</x:v>
      </x:c>
      <x:c r="M157" t="n">
        <x:f>Trading_Raw!M157</x:f>
        <x:v>0.4</x:v>
      </x:c>
      <x:c r="N157" t="str">
        <x:f>Trading_Raw!N157</x:f>
        <x:v>Liquidity sweep</x:v>
      </x:c>
      <x:c r="O157" t="str">
        <x:f>Trading_Raw!O157</x:f>
        <x:v>Oversized</x:v>
      </x:c>
      <x:c r="P157" s="76" t="n">
        <x:f>IF(F157="Long",(H157-G157)/G157*K157*L157,(G157-H157)/G157*K157*L157)-M157</x:f>
        <x:v>-10.874512395789008</x:v>
      </x:c>
      <x:c r="Q157" s="78" t="n">
        <x:f>P157/K157</x:f>
        <x:v>-0.043498049583156034</x:v>
      </x:c>
      <x:c r="R157" s="78" t="n">
        <x:f>IF(F157="Long",(G157-I157)/G157,(I157-G157)/G157)</x:f>
        <x:v>0.024659136554812132</x:v>
      </x:c>
      <x:c r="S157" s="78" t="n">
        <x:f>IF(F157="Long",(J157-G157)/G157,(G157-J157)/G157)</x:f>
        <x:v>0.053421518969028935</x:v>
      </x:c>
      <x:c r="T157" s="80" t="n">
        <x:f>IFERROR(P157/(K157*L157*R157),0)</x:f>
        <x:v>-0.8819864695276113</x:v>
      </x:c>
      <x:c r="U157" t="str">
        <x:f>IF(P157&gt;0,"Win",IF(P157&lt;0,"Loss","Breakeven"))</x:f>
        <x:v>Loss</x:v>
      </x:c>
      <x:c r="V157" s="76" t="n">
        <x:f>SUM($P$5:P157)</x:f>
        <x:v>-532.9887334508213</x:v>
      </x:c>
    </x:row>
    <x:row r="158">
      <x:c r="A158" t="n">
        <x:f>Trading_Raw!A158</x:f>
        <x:v>154</x:v>
      </x:c>
      <x:c r="B158" s="72" t="n">
        <x:f>Trading_Raw!B158</x:f>
        <x:v>46155.625</x:v>
      </x:c>
      <x:c r="C158" t="str">
        <x:f>Trading_Raw!C158</x:f>
        <x:v>BTCUSDT</x:v>
      </x:c>
      <x:c r="D158" t="str">
        <x:f>Trading_Raw!D158</x:f>
        <x:v>Bybit</x:v>
      </x:c>
      <x:c r="E158" t="str">
        <x:f>Trading_Raw!E158</x:f>
        <x:v>15m</x:v>
      </x:c>
      <x:c r="F158" t="str">
        <x:f>Trading_Raw!F158</x:f>
        <x:v>Short</x:v>
      </x:c>
      <x:c r="G158" t="n">
        <x:f>Trading_Raw!G158</x:f>
        <x:v>72221.431195</x:v>
      </x:c>
      <x:c r="H158" t="n">
        <x:f>Trading_Raw!H158</x:f>
        <x:v>74589.663269</x:v>
      </x:c>
      <x:c r="I158" t="n">
        <x:f>Trading_Raw!I158</x:f>
        <x:v>73763.497627</x:v>
      </x:c>
      <x:c r="J158" t="n">
        <x:f>Trading_Raw!J158</x:f>
        <x:v>71112.963425</x:v>
      </x:c>
      <x:c r="K158" t="n">
        <x:f>Trading_Raw!K158</x:f>
        <x:v>150</x:v>
      </x:c>
      <x:c r="L158" t="n">
        <x:f>Trading_Raw!L158</x:f>
        <x:v>2</x:v>
      </x:c>
      <x:c r="M158" t="n">
        <x:f>Trading_Raw!M158</x:f>
        <x:v>0.24</x:v>
      </x:c>
      <x:c r="N158" t="str">
        <x:f>Trading_Raw!N158</x:f>
        <x:v>Liquidity sweep</x:v>
      </x:c>
      <x:c r="O158" t="str">
        <x:f>Trading_Raw!O158</x:f>
        <x:v>Moved SL</x:v>
      </x:c>
      <x:c r="P158" s="76" t="n">
        <x:f>IF(F158="Long",(H158-G158)/G158*K158*L158,(G158-H158)/G158*K158*L158)-M158</x:f>
        <x:v>-10.077379437714422</x:v>
      </x:c>
      <x:c r="Q158" s="78" t="n">
        <x:f>P158/K158</x:f>
        <x:v>-0.06718252958476281</x:v>
      </x:c>
      <x:c r="R158" s="78" t="n">
        <x:f>IF(F158="Long",(G158-I158)/G158,(I158-G158)/G158)</x:f>
        <x:v>0.0213519229193393</x:v>
      </x:c>
      <x:c r="S158" s="78" t="n">
        <x:f>IF(F158="Long",(J158-G158)/G158,(G158-J158)/G158)</x:f>
        <x:v>0.015348183380735106</x:v>
      </x:c>
      <x:c r="T158" s="80" t="n">
        <x:f>IFERROR(P158/(K158*L158*R158),0)</x:f>
        <x:v>-1.5732196542334105</x:v>
      </x:c>
      <x:c r="U158" t="str">
        <x:f>IF(P158&gt;0,"Win",IF(P158&lt;0,"Loss","Breakeven"))</x:f>
        <x:v>Loss</x:v>
      </x:c>
      <x:c r="V158" s="76" t="n">
        <x:f>SUM($P$5:P158)</x:f>
        <x:v>-543.0661128885357</x:v>
      </x:c>
    </x:row>
    <x:row r="159">
      <x:c r="A159" t="n">
        <x:f>Trading_Raw!A159</x:f>
        <x:v>155</x:v>
      </x:c>
      <x:c r="B159" s="72" t="n">
        <x:f>Trading_Raw!B159</x:f>
        <x:v>46109.75</x:v>
      </x:c>
      <x:c r="C159" t="str">
        <x:f>Trading_Raw!C159</x:f>
        <x:v>WLFIUSDT</x:v>
      </x:c>
      <x:c r="D159" t="str">
        <x:f>Trading_Raw!D159</x:f>
        <x:v>OKX</x:v>
      </x:c>
      <x:c r="E159" t="str">
        <x:f>Trading_Raw!E159</x:f>
        <x:v>5m</x:v>
      </x:c>
      <x:c r="F159" t="str">
        <x:f>Trading_Raw!F159</x:f>
        <x:v>Short</x:v>
      </x:c>
      <x:c r="G159" t="n">
        <x:f>Trading_Raw!G159</x:f>
        <x:v>0.060529</x:v>
      </x:c>
      <x:c r="H159" t="n">
        <x:f>Trading_Raw!H159</x:f>
        <x:v>0.061025</x:v>
      </x:c>
      <x:c r="I159" t="n">
        <x:f>Trading_Raw!I159</x:f>
        <x:v>0.062019</x:v>
      </x:c>
      <x:c r="J159" t="n">
        <x:f>Trading_Raw!J159</x:f>
        <x:v>0.059499</x:v>
      </x:c>
      <x:c r="K159" t="n">
        <x:f>Trading_Raw!K159</x:f>
        <x:v>300</x:v>
      </x:c>
      <x:c r="L159" t="n">
        <x:f>Trading_Raw!L159</x:f>
        <x:v>10</x:v>
      </x:c>
      <x:c r="M159" t="n">
        <x:f>Trading_Raw!M159</x:f>
        <x:v>2.4</x:v>
      </x:c>
      <x:c r="N159" t="str">
        <x:f>Trading_Raw!N159</x:f>
        <x:v>Trend continuation</x:v>
      </x:c>
      <x:c r="O159" t="str">
        <x:f>Trading_Raw!O159</x:f>
        <x:v>No HTF confirmation</x:v>
      </x:c>
      <x:c r="P159" s="76" t="n">
        <x:f>IF(F159="Long",(H159-G159)/G159*K159*L159,(G159-H159)/G159*K159*L159)-M159</x:f>
        <x:v>-26.983257612053897</x:v>
      </x:c>
      <x:c r="Q159" s="78" t="n">
        <x:f>P159/K159</x:f>
        <x:v>-0.08994419204017966</x:v>
      </x:c>
      <x:c r="R159" s="78" t="n">
        <x:f>IF(F159="Long",(G159-I159)/G159,(I159-G159)/G159)</x:f>
        <x:v>0.024616299624973127</x:v>
      </x:c>
      <x:c r="S159" s="78" t="n">
        <x:f>IF(F159="Long",(J159-G159)/G159,(G159-J159)/G159)</x:f>
        <x:v>0.01701663665350487</x:v>
      </x:c>
      <x:c r="T159" s="80" t="n">
        <x:f>IFERROR(P159/(K159*L159*R159),0)</x:f>
        <x:v>-0.36538469798657985</x:v>
      </x:c>
      <x:c r="U159" t="str">
        <x:f>IF(P159&gt;0,"Win",IF(P159&lt;0,"Loss","Breakeven"))</x:f>
        <x:v>Loss</x:v>
      </x:c>
      <x:c r="V159" s="76" t="n">
        <x:f>SUM($P$5:P159)</x:f>
        <x:v>-570.0493705005896</x:v>
      </x:c>
    </x:row>
    <x:row r="160">
      <x:c r="A160" t="n">
        <x:f>Trading_Raw!A160</x:f>
        <x:v>156</x:v>
      </x:c>
      <x:c r="B160" s="72" t="n">
        <x:f>Trading_Raw!B160</x:f>
        <x:v>46119.75</x:v>
      </x:c>
      <x:c r="C160" t="str">
        <x:f>Trading_Raw!C160</x:f>
        <x:v>WLFIUSDT</x:v>
      </x:c>
      <x:c r="D160" t="str">
        <x:f>Trading_Raw!D160</x:f>
        <x:v>Binance</x:v>
      </x:c>
      <x:c r="E160" t="str">
        <x:f>Trading_Raw!E160</x:f>
        <x:v>15m</x:v>
      </x:c>
      <x:c r="F160" t="str">
        <x:f>Trading_Raw!F160</x:f>
        <x:v>Long</x:v>
      </x:c>
      <x:c r="G160" t="n">
        <x:f>Trading_Raw!G160</x:f>
        <x:v>0.057587</x:v>
      </x:c>
      <x:c r="H160" t="n">
        <x:f>Trading_Raw!H160</x:f>
        <x:v>0.055575</x:v>
      </x:c>
      <x:c r="I160" t="n">
        <x:f>Trading_Raw!I160</x:f>
        <x:v>0.056535</x:v>
      </x:c>
      <x:c r="J160" t="n">
        <x:f>Trading_Raw!J160</x:f>
        <x:v>0.058911</x:v>
      </x:c>
      <x:c r="K160" t="n">
        <x:f>Trading_Raw!K160</x:f>
        <x:v>500</x:v>
      </x:c>
      <x:c r="L160" t="n">
        <x:f>Trading_Raw!L160</x:f>
        <x:v>5</x:v>
      </x:c>
      <x:c r="M160" t="n">
        <x:f>Trading_Raw!M160</x:f>
        <x:v>2</x:v>
      </x:c>
      <x:c r="N160" t="str">
        <x:f>Trading_Raw!N160</x:f>
        <x:v>VWAP reclaim</x:v>
      </x:c>
      <x:c r="O160" t="str">
        <x:f>Trading_Raw!O160</x:f>
        <x:v>None</x:v>
      </x:c>
      <x:c r="P160" s="76" t="n">
        <x:f>IF(F160="Long",(H160-G160)/G160*K160*L160,(G160-H160)/G160*K160*L160)-M160</x:f>
        <x:v>-89.34610241894872</x:v>
      </x:c>
      <x:c r="Q160" s="78" t="n">
        <x:f>P160/K160</x:f>
        <x:v>-0.17869220483789744</x:v>
      </x:c>
      <x:c r="R160" s="78" t="n">
        <x:f>IF(F160="Long",(G160-I160)/G160,(I160-G160)/G160)</x:f>
        <x:v>0.018268011877680682</x:v>
      </x:c>
      <x:c r="S160" s="78" t="n">
        <x:f>IF(F160="Long",(J160-G160)/G160,(G160-J160)/G160)</x:f>
        <x:v>0.02299130011981869</x:v>
      </x:c>
      <x:c r="T160" s="80" t="n">
        <x:f>IFERROR(P160/(K160*L160*R160),0)</x:f>
        <x:v>-1.956339923954377</x:v>
      </x:c>
      <x:c r="U160" t="str">
        <x:f>IF(P160&gt;0,"Win",IF(P160&lt;0,"Loss","Breakeven"))</x:f>
        <x:v>Loss</x:v>
      </x:c>
      <x:c r="V160" s="76" t="n">
        <x:f>SUM($P$5:P160)</x:f>
        <x:v>-659.3954729195383</x:v>
      </x:c>
    </x:row>
    <x:row r="161">
      <x:c r="A161" t="n">
        <x:f>Trading_Raw!A161</x:f>
        <x:v>157</x:v>
      </x:c>
      <x:c r="B161" s="72" t="n">
        <x:f>Trading_Raw!B161</x:f>
        <x:v>46172.458333333336</x:v>
      </x:c>
      <x:c r="C161" t="str">
        <x:f>Trading_Raw!C161</x:f>
        <x:v>ETHUSDT</x:v>
      </x:c>
      <x:c r="D161" t="str">
        <x:f>Trading_Raw!D161</x:f>
        <x:v>Binance</x:v>
      </x:c>
      <x:c r="E161" t="str">
        <x:f>Trading_Raw!E161</x:f>
        <x:v>1h</x:v>
      </x:c>
      <x:c r="F161" t="str">
        <x:f>Trading_Raw!F161</x:f>
        <x:v>Long</x:v>
      </x:c>
      <x:c r="G161" t="n">
        <x:f>Trading_Raw!G161</x:f>
        <x:v>3282.985999</x:v>
      </x:c>
      <x:c r="H161" t="n">
        <x:f>Trading_Raw!H161</x:f>
        <x:v>3523.264975</x:v>
      </x:c>
      <x:c r="I161" t="n">
        <x:f>Trading_Raw!I161</x:f>
        <x:v>3211.171587</x:v>
      </x:c>
      <x:c r="J161" t="n">
        <x:f>Trading_Raw!J161</x:f>
        <x:v>3402.454016</x:v>
      </x:c>
      <x:c r="K161" t="n">
        <x:f>Trading_Raw!K161</x:f>
        <x:v>1000</x:v>
      </x:c>
      <x:c r="L161" t="n">
        <x:f>Trading_Raw!L161</x:f>
        <x:v>3</x:v>
      </x:c>
      <x:c r="M161" t="n">
        <x:f>Trading_Raw!M161</x:f>
        <x:v>2.4</x:v>
      </x:c>
      <x:c r="N161" t="str">
        <x:f>Trading_Raw!N161</x:f>
        <x:v>Liquidity sweep</x:v>
      </x:c>
      <x:c r="O161" t="str">
        <x:f>Trading_Raw!O161</x:f>
        <x:v>Oversized</x:v>
      </x:c>
      <x:c r="P161" s="76" t="n">
        <x:f>IF(F161="Long",(H161-G161)/G161*K161*L161,(G161-H161)/G161*K161*L161)-M161</x:f>
        <x:v>217.16746943775198</x:v>
      </x:c>
      <x:c r="Q161" s="78" t="n">
        <x:f>P161/K161</x:f>
        <x:v>0.21716746943775198</x:v>
      </x:c>
      <x:c r="R161" s="78" t="n">
        <x:f>IF(F161="Long",(G161-I161)/G161,(I161-G161)/G161)</x:f>
        <x:v>0.02187472380993245</x:v>
      </x:c>
      <x:c r="S161" s="78" t="n">
        <x:f>IF(F161="Long",(J161-G161)/G161,(G161-J161)/G161)</x:f>
        <x:v>0.03639004766891793</x:v>
      </x:c>
      <x:c r="T161" s="80" t="n">
        <x:f>IFERROR(P161/(K161*L161*R161),0)</x:f>
        <x:v>3.309260364072876</x:v>
      </x:c>
      <x:c r="U161" t="str">
        <x:f>IF(P161&gt;0,"Win",IF(P161&lt;0,"Loss","Breakeven"))</x:f>
        <x:v>Win</x:v>
      </x:c>
      <x:c r="V161" s="76" t="n">
        <x:f>SUM($P$5:P161)</x:f>
        <x:v>-442.22800348178635</x:v>
      </x:c>
    </x:row>
    <x:row r="162">
      <x:c r="A162" t="n">
        <x:f>Trading_Raw!A162</x:f>
        <x:v>158</x:v>
      </x:c>
      <x:c r="B162" s="72" t="n">
        <x:f>Trading_Raw!B162</x:f>
        <x:v>46061</x:v>
      </x:c>
      <x:c r="C162" t="str">
        <x:f>Trading_Raw!C162</x:f>
        <x:v>SOLUSDT</x:v>
      </x:c>
      <x:c r="D162" t="str">
        <x:f>Trading_Raw!D162</x:f>
        <x:v>Bybit</x:v>
      </x:c>
      <x:c r="E162" t="str">
        <x:f>Trading_Raw!E162</x:f>
        <x:v>3m</x:v>
      </x:c>
      <x:c r="F162" t="str">
        <x:f>Trading_Raw!F162</x:f>
        <x:v>Long</x:v>
      </x:c>
      <x:c r="G162" t="n">
        <x:f>Trading_Raw!G162</x:f>
        <x:v>159.199245</x:v>
      </x:c>
      <x:c r="H162" t="n">
        <x:f>Trading_Raw!H162</x:f>
        <x:v>161.495448</x:v>
      </x:c>
      <x:c r="I162" t="n">
        <x:f>Trading_Raw!I162</x:f>
        <x:v>157.72338</x:v>
      </x:c>
      <x:c r="J162" t="n">
        <x:f>Trading_Raw!J162</x:f>
        <x:v>167.269353</x:v>
      </x:c>
      <x:c r="K162" t="n">
        <x:f>Trading_Raw!K162</x:f>
        <x:v>150</x:v>
      </x:c>
      <x:c r="L162" t="n">
        <x:f>Trading_Raw!L162</x:f>
        <x:v>3</x:v>
      </x:c>
      <x:c r="M162" t="n">
        <x:f>Trading_Raw!M162</x:f>
        <x:v>0.36</x:v>
      </x:c>
      <x:c r="N162" t="str">
        <x:f>Trading_Raw!N162</x:f>
        <x:v>VWAP reclaim</x:v>
      </x:c>
      <x:c r="O162" t="str">
        <x:f>Trading_Raw!O162</x:f>
        <x:v>Late entry</x:v>
      </x:c>
      <x:c r="P162" s="76" t="n">
        <x:f>IF(F162="Long",(H162-G162)/G162*K162*L162,(G162-H162)/G162*K162*L162)-M162</x:f>
        <x:v>6.130554336485759</x:v>
      </x:c>
      <x:c r="Q162" s="78" t="n">
        <x:f>P162/K162</x:f>
        <x:v>0.040870362243238395</x:v>
      </x:c>
      <x:c r="R162" s="78" t="n">
        <x:f>IF(F162="Long",(G162-I162)/G162,(I162-G162)/G162)</x:f>
        <x:v>0.009270552759216911</x:v>
      </x:c>
      <x:c r="S162" s="78" t="n">
        <x:f>IF(F162="Long",(J162-G162)/G162,(G162-J162)/G162)</x:f>
        <x:v>0.05069187357012909</x:v>
      </x:c>
      <x:c r="T162" s="80" t="n">
        <x:f>IFERROR(P162/(K162*L162*R162),0)</x:f>
        <x:v>1.4695406449777053</x:v>
      </x:c>
      <x:c r="U162" t="str">
        <x:f>IF(P162&gt;0,"Win",IF(P162&lt;0,"Loss","Breakeven"))</x:f>
        <x:v>Win</x:v>
      </x:c>
      <x:c r="V162" s="76" t="n">
        <x:f>SUM($P$5:P162)</x:f>
        <x:v>-436.0974491453006</x:v>
      </x:c>
    </x:row>
    <x:row r="163">
      <x:c r="A163" t="n">
        <x:f>Trading_Raw!A163</x:f>
        <x:v>159</x:v>
      </x:c>
      <x:c r="B163" s="72" t="n">
        <x:f>Trading_Raw!B163</x:f>
        <x:v>46113.958333333336</x:v>
      </x:c>
      <x:c r="C163" t="str">
        <x:f>Trading_Raw!C163</x:f>
        <x:v>WLFIUSDT</x:v>
      </x:c>
      <x:c r="D163" t="str">
        <x:f>Trading_Raw!D163</x:f>
        <x:v>OKX</x:v>
      </x:c>
      <x:c r="E163" t="str">
        <x:f>Trading_Raw!E163</x:f>
        <x:v>5m</x:v>
      </x:c>
      <x:c r="F163" t="str">
        <x:f>Trading_Raw!F163</x:f>
        <x:v>Short</x:v>
      </x:c>
      <x:c r="G163" t="n">
        <x:f>Trading_Raw!G163</x:f>
        <x:v>0.05698</x:v>
      </x:c>
      <x:c r="H163" t="n">
        <x:f>Trading_Raw!H163</x:f>
        <x:v>0.058284</x:v>
      </x:c>
      <x:c r="I163" t="n">
        <x:f>Trading_Raw!I163</x:f>
        <x:v>0.058266</x:v>
      </x:c>
      <x:c r="J163" t="n">
        <x:f>Trading_Raw!J163</x:f>
        <x:v>0.054307</x:v>
      </x:c>
      <x:c r="K163" t="n">
        <x:f>Trading_Raw!K163</x:f>
        <x:v>1000</x:v>
      </x:c>
      <x:c r="L163" t="n">
        <x:f>Trading_Raw!L163</x:f>
        <x:v>10</x:v>
      </x:c>
      <x:c r="M163" t="n">
        <x:f>Trading_Raw!M163</x:f>
        <x:v>8</x:v>
      </x:c>
      <x:c r="N163" t="str">
        <x:f>Trading_Raw!N163</x:f>
        <x:v>Trend continuation</x:v>
      </x:c>
      <x:c r="O163" t="str">
        <x:f>Trading_Raw!O163</x:f>
        <x:v>None</x:v>
      </x:c>
      <x:c r="P163" s="76" t="n">
        <x:f>IF(F163="Long",(H163-G163)/G163*K163*L163,(G163-H163)/G163*K163*L163)-M163</x:f>
        <x:v>-236.85222885222876</x:v>
      </x:c>
      <x:c r="Q163" s="78" t="n">
        <x:f>P163/K163</x:f>
        <x:v>-0.23685222885222876</x:v>
      </x:c>
      <x:c r="R163" s="78" t="n">
        <x:f>IF(F163="Long",(G163-I163)/G163,(I163-G163)/G163)</x:f>
        <x:v>0.022569322569322488</x:v>
      </x:c>
      <x:c r="S163" s="78" t="n">
        <x:f>IF(F163="Long",(J163-G163)/G163,(G163-J163)/G163)</x:f>
        <x:v>0.04691119691119694</x:v>
      </x:c>
      <x:c r="T163" s="80" t="n">
        <x:f>IFERROR(P163/(K163*L163*R163),0)</x:f>
        <x:v>-1.0494432348367062</x:v>
      </x:c>
      <x:c r="U163" t="str">
        <x:f>IF(P163&gt;0,"Win",IF(P163&lt;0,"Loss","Breakeven"))</x:f>
        <x:v>Loss</x:v>
      </x:c>
      <x:c r="V163" s="76" t="n">
        <x:f>SUM($P$5:P163)</x:f>
        <x:v>-672.9496779975293</x:v>
      </x:c>
    </x:row>
    <x:row r="164">
      <x:c r="A164" t="n">
        <x:f>Trading_Raw!A164</x:f>
        <x:v>160</x:v>
      </x:c>
      <x:c r="B164" s="72" t="n">
        <x:f>Trading_Raw!B164</x:f>
        <x:v>46102.041666666664</x:v>
      </x:c>
      <x:c r="C164" t="str">
        <x:f>Trading_Raw!C164</x:f>
        <x:v>BTCUSDT</x:v>
      </x:c>
      <x:c r="D164" t="str">
        <x:f>Trading_Raw!D164</x:f>
        <x:v>Bybit</x:v>
      </x:c>
      <x:c r="E164" t="str">
        <x:f>Trading_Raw!E164</x:f>
        <x:v>5m</x:v>
      </x:c>
      <x:c r="F164" t="str">
        <x:f>Trading_Raw!F164</x:f>
        <x:v>Short</x:v>
      </x:c>
      <x:c r="G164" t="n">
        <x:f>Trading_Raw!G164</x:f>
        <x:v>66637.836457</x:v>
      </x:c>
      <x:c r="H164" t="n">
        <x:f>Trading_Raw!H164</x:f>
        <x:v>65829.849363</x:v>
      </x:c>
      <x:c r="I164" t="n">
        <x:f>Trading_Raw!I164</x:f>
        <x:v>67359.05128</x:v>
      </x:c>
      <x:c r="J164" t="n">
        <x:f>Trading_Raw!J164</x:f>
        <x:v>64114.123209</x:v>
      </x:c>
      <x:c r="K164" t="n">
        <x:f>Trading_Raw!K164</x:f>
        <x:v>250</x:v>
      </x:c>
      <x:c r="L164" t="n">
        <x:f>Trading_Raw!L164</x:f>
        <x:v>5</x:v>
      </x:c>
      <x:c r="M164" t="n">
        <x:f>Trading_Raw!M164</x:f>
        <x:v>1</x:v>
      </x:c>
      <x:c r="N164" t="str">
        <x:f>Trading_Raw!N164</x:f>
        <x:v>Range deviation</x:v>
      </x:c>
      <x:c r="O164" t="str">
        <x:f>Trading_Raw!O164</x:f>
        <x:v>Moved SL</x:v>
      </x:c>
      <x:c r="P164" s="76" t="n">
        <x:f>IF(F164="Long",(H164-G164)/G164*K164*L164,(G164-H164)/G164*K164*L164)-M164</x:f>
        <x:v>14.156312407467144</x:v>
      </x:c>
      <x:c r="Q164" s="78" t="n">
        <x:f>P164/K164</x:f>
        <x:v>0.056625249629868576</x:v>
      </x:c>
      <x:c r="R164" s="78" t="n">
        <x:f>IF(F164="Long",(G164-I164)/G164,(I164-G164)/G164)</x:f>
        <x:v>0.010822902743329414</x:v>
      </x:c>
      <x:c r="S164" s="78" t="n">
        <x:f>IF(F164="Long",(J164-G164)/G164,(G164-J164)/G164)</x:f>
        <x:v>0.03787207661864141</x:v>
      </x:c>
      <x:c r="T164" s="80" t="n">
        <x:f>IFERROR(P164/(K164*L164*R164),0)</x:f>
        <x:v>1.0463967194894914</x:v>
      </x:c>
      <x:c r="U164" t="str">
        <x:f>IF(P164&gt;0,"Win",IF(P164&lt;0,"Loss","Breakeven"))</x:f>
        <x:v>Win</x:v>
      </x:c>
      <x:c r="V164" s="76" t="n">
        <x:f>SUM($P$5:P164)</x:f>
        <x:v>-658.7933655900622</x:v>
      </x:c>
    </x:row>
    <x:row r="165">
      <x:c r="A165" t="n">
        <x:f>Trading_Raw!A165</x:f>
        <x:v>161</x:v>
      </x:c>
      <x:c r="B165" s="72" t="n">
        <x:f>Trading_Raw!B165</x:f>
        <x:v>46046.541666666664</x:v>
      </x:c>
      <x:c r="C165" t="str">
        <x:f>Trading_Raw!C165</x:f>
        <x:v>FARTCOINUSDT</x:v>
      </x:c>
      <x:c r="D165" t="str">
        <x:f>Trading_Raw!D165</x:f>
        <x:v>OKX</x:v>
      </x:c>
      <x:c r="E165" t="str">
        <x:f>Trading_Raw!E165</x:f>
        <x:v>5m</x:v>
      </x:c>
      <x:c r="F165" t="str">
        <x:f>Trading_Raw!F165</x:f>
        <x:v>Short</x:v>
      </x:c>
      <x:c r="G165" t="n">
        <x:f>Trading_Raw!G165</x:f>
        <x:v>0.143486</x:v>
      </x:c>
      <x:c r="H165" t="n">
        <x:f>Trading_Raw!H165</x:f>
        <x:v>0.140686</x:v>
      </x:c>
      <x:c r="I165" t="n">
        <x:f>Trading_Raw!I165</x:f>
        <x:v>0.145316</x:v>
      </x:c>
      <x:c r="J165" t="n">
        <x:f>Trading_Raw!J165</x:f>
        <x:v>0.13916</x:v>
      </x:c>
      <x:c r="K165" t="n">
        <x:f>Trading_Raw!K165</x:f>
        <x:v>750</x:v>
      </x:c>
      <x:c r="L165" t="n">
        <x:f>Trading_Raw!L165</x:f>
        <x:v>1</x:v>
      </x:c>
      <x:c r="M165" t="n">
        <x:f>Trading_Raw!M165</x:f>
        <x:v>0.6</x:v>
      </x:c>
      <x:c r="N165" t="str">
        <x:f>Trading_Raw!N165</x:f>
        <x:v>Liquidity sweep</x:v>
      </x:c>
      <x:c r="O165" t="str">
        <x:f>Trading_Raw!O165</x:f>
        <x:v>Moved SL</x:v>
      </x:c>
      <x:c r="P165" s="76" t="n">
        <x:f>IF(F165="Long",(H165-G165)/G165*K165*L165,(G165-H165)/G165*K165*L165)-M165</x:f>
        <x:v>14.035574202361191</x:v>
      </x:c>
      <x:c r="Q165" s="78" t="n">
        <x:f>P165/K165</x:f>
        <x:v>0.01871409893648159</x:v>
      </x:c>
      <x:c r="R165" s="78" t="n">
        <x:f>IF(F165="Long",(G165-I165)/G165,(I165-G165)/G165)</x:f>
        <x:v>0.012753857519200468</x:v>
      </x:c>
      <x:c r="S165" s="78" t="n">
        <x:f>IF(F165="Long",(J165-G165)/G165,(G165-J165)/G165)</x:f>
        <x:v>0.03014928285686406</x:v>
      </x:c>
      <x:c r="T165" s="80" t="n">
        <x:f>IFERROR(P165/(K165*L165*R165),0)</x:f>
        <x:v>1.4673285245901637</x:v>
      </x:c>
      <x:c r="U165" t="str">
        <x:f>IF(P165&gt;0,"Win",IF(P165&lt;0,"Loss","Breakeven"))</x:f>
        <x:v>Win</x:v>
      </x:c>
      <x:c r="V165" s="76" t="n">
        <x:f>SUM($P$5:P165)</x:f>
        <x:v>-644.757791387701</x:v>
      </x:c>
    </x:row>
    <x:row r="166">
      <x:c r="A166" t="n">
        <x:f>Trading_Raw!A166</x:f>
        <x:v>162</x:v>
      </x:c>
      <x:c r="B166" s="72" t="n">
        <x:f>Trading_Raw!B166</x:f>
        <x:v>46058.125</x:v>
      </x:c>
      <x:c r="C166" t="str">
        <x:f>Trading_Raw!C166</x:f>
        <x:v>BTCUSDT</x:v>
      </x:c>
      <x:c r="D166" t="str">
        <x:f>Trading_Raw!D166</x:f>
        <x:v>Bybit</x:v>
      </x:c>
      <x:c r="E166" t="str">
        <x:f>Trading_Raw!E166</x:f>
        <x:v>15m</x:v>
      </x:c>
      <x:c r="F166" t="str">
        <x:f>Trading_Raw!F166</x:f>
        <x:v>Long</x:v>
      </x:c>
      <x:c r="G166" t="n">
        <x:f>Trading_Raw!G166</x:f>
        <x:v>69770.77718</x:v>
      </x:c>
      <x:c r="H166" t="n">
        <x:f>Trading_Raw!H166</x:f>
        <x:v>65709.912167</x:v>
      </x:c>
      <x:c r="I166" t="n">
        <x:f>Trading_Raw!I166</x:f>
        <x:v>68104.916296</x:v>
      </x:c>
      <x:c r="J166" t="n">
        <x:f>Trading_Raw!J166</x:f>
        <x:v>73329.197059</x:v>
      </x:c>
      <x:c r="K166" t="n">
        <x:f>Trading_Raw!K166</x:f>
        <x:v>500</x:v>
      </x:c>
      <x:c r="L166" t="n">
        <x:f>Trading_Raw!L166</x:f>
        <x:v>5</x:v>
      </x:c>
      <x:c r="M166" t="n">
        <x:f>Trading_Raw!M166</x:f>
        <x:v>2</x:v>
      </x:c>
      <x:c r="N166" t="str">
        <x:f>Trading_Raw!N166</x:f>
        <x:v>CVD divergence</x:v>
      </x:c>
      <x:c r="O166" t="str">
        <x:f>Trading_Raw!O166</x:f>
        <x:v>Oversized</x:v>
      </x:c>
      <x:c r="P166" s="76" t="n">
        <x:f>IF(F166="Long",(H166-G166)/G166*K166*L166,(G166-H166)/G166*K166*L166)-M166</x:f>
        <x:v>-147.5073734711121</x:v>
      </x:c>
      <x:c r="Q166" s="78" t="n">
        <x:f>P166/K166</x:f>
        <x:v>-0.2950147469422242</x:v>
      </x:c>
      <x:c r="R166" s="78" t="n">
        <x:f>IF(F166="Long",(G166-I166)/G166,(I166-G166)/G166)</x:f>
        <x:v>0.023876197905926905</x:v>
      </x:c>
      <x:c r="S166" s="78" t="n">
        <x:f>IF(F166="Long",(J166-G166)/G166,(G166-J166)/G166)</x:f>
        <x:v>0.051001580071549285</x:v>
      </x:c>
      <x:c r="T166" s="80" t="n">
        <x:f>IFERROR(P166/(K166*L166*R166),0)</x:f>
        <x:v>-2.4712037327265683</x:v>
      </x:c>
      <x:c r="U166" t="str">
        <x:f>IF(P166&gt;0,"Win",IF(P166&lt;0,"Loss","Breakeven"))</x:f>
        <x:v>Loss</x:v>
      </x:c>
      <x:c r="V166" s="76" t="n">
        <x:f>SUM($P$5:P166)</x:f>
        <x:v>-792.265164858813</x:v>
      </x:c>
    </x:row>
    <x:row r="167">
      <x:c r="A167" t="n">
        <x:f>Trading_Raw!A167</x:f>
        <x:v>163</x:v>
      </x:c>
      <x:c r="B167" s="72" t="n">
        <x:f>Trading_Raw!B167</x:f>
        <x:v>46140.041666666664</x:v>
      </x:c>
      <x:c r="C167" t="str">
        <x:f>Trading_Raw!C167</x:f>
        <x:v>XRPUSDT</x:v>
      </x:c>
      <x:c r="D167" t="str">
        <x:f>Trading_Raw!D167</x:f>
        <x:v>Bybit</x:v>
      </x:c>
      <x:c r="E167" t="str">
        <x:f>Trading_Raw!E167</x:f>
        <x:v>15m</x:v>
      </x:c>
      <x:c r="F167" t="str">
        <x:f>Trading_Raw!F167</x:f>
        <x:v>Short</x:v>
      </x:c>
      <x:c r="G167" t="n">
        <x:f>Trading_Raw!G167</x:f>
        <x:v>0.532854</x:v>
      </x:c>
      <x:c r="H167" t="n">
        <x:f>Trading_Raw!H167</x:f>
        <x:v>0.534703</x:v>
      </x:c>
      <x:c r="I167" t="n">
        <x:f>Trading_Raw!I167</x:f>
        <x:v>0.54443</x:v>
      </x:c>
      <x:c r="J167" t="n">
        <x:f>Trading_Raw!J167</x:f>
        <x:v>0.509717</x:v>
      </x:c>
      <x:c r="K167" t="n">
        <x:f>Trading_Raw!K167</x:f>
        <x:v>1000</x:v>
      </x:c>
      <x:c r="L167" t="n">
        <x:f>Trading_Raw!L167</x:f>
        <x:v>5</x:v>
      </x:c>
      <x:c r="M167" t="n">
        <x:f>Trading_Raw!M167</x:f>
        <x:v>4</x:v>
      </x:c>
      <x:c r="N167" t="str">
        <x:f>Trading_Raw!N167</x:f>
        <x:v>VWAP reclaim</x:v>
      </x:c>
      <x:c r="O167" t="str">
        <x:f>Trading_Raw!O167</x:f>
        <x:v>Ignored funding</x:v>
      </x:c>
      <x:c r="P167" s="76" t="n">
        <x:f>IF(F167="Long",(H167-G167)/G167*K167*L167,(G167-H167)/G167*K167*L167)-M167</x:f>
        <x:v>-21.34996828399514</x:v>
      </x:c>
      <x:c r="Q167" s="78" t="n">
        <x:f>P167/K167</x:f>
        <x:v>-0.02134996828399514</x:v>
      </x:c>
      <x:c r="R167" s="78" t="n">
        <x:f>IF(F167="Long",(G167-I167)/G167,(I167-G167)/G167)</x:f>
        <x:v>0.021724524916768795</x:v>
      </x:c>
      <x:c r="S167" s="78" t="n">
        <x:f>IF(F167="Long",(J167-G167)/G167,(G167-J167)/G167)</x:f>
        <x:v>0.04342089953345583</x:v>
      </x:c>
      <x:c r="T167" s="80" t="n">
        <x:f>IFERROR(P167/(K167*L167*R167),0)</x:f>
        <x:v>-0.19655176226675924</x:v>
      </x:c>
      <x:c r="U167" t="str">
        <x:f>IF(P167&gt;0,"Win",IF(P167&lt;0,"Loss","Breakeven"))</x:f>
        <x:v>Loss</x:v>
      </x:c>
      <x:c r="V167" s="76" t="n">
        <x:f>SUM($P$5:P167)</x:f>
        <x:v>-813.6151331428082</x:v>
      </x:c>
    </x:row>
    <x:row r="168">
      <x:c r="A168" t="n">
        <x:f>Trading_Raw!A168</x:f>
        <x:v>164</x:v>
      </x:c>
      <x:c r="B168" s="72" t="n">
        <x:f>Trading_Raw!B168</x:f>
        <x:v>46024.958333333336</x:v>
      </x:c>
      <x:c r="C168" t="str">
        <x:f>Trading_Raw!C168</x:f>
        <x:v>WLFIUSDT</x:v>
      </x:c>
      <x:c r="D168" t="str">
        <x:f>Trading_Raw!D168</x:f>
        <x:v>Binance</x:v>
      </x:c>
      <x:c r="E168" t="str">
        <x:f>Trading_Raw!E168</x:f>
        <x:v>5m</x:v>
      </x:c>
      <x:c r="F168" t="str">
        <x:f>Trading_Raw!F168</x:f>
        <x:v>Long</x:v>
      </x:c>
      <x:c r="G168" t="n">
        <x:f>Trading_Raw!G168</x:f>
        <x:v>0.059087</x:v>
      </x:c>
      <x:c r="H168" t="n">
        <x:f>Trading_Raw!H168</x:f>
        <x:v>0.057881</x:v>
      </x:c>
      <x:c r="I168" t="n">
        <x:f>Trading_Raw!I168</x:f>
        <x:v>0.057924</x:v>
      </x:c>
      <x:c r="J168" t="n">
        <x:f>Trading_Raw!J168</x:f>
        <x:v>0.06121</x:v>
      </x:c>
      <x:c r="K168" t="n">
        <x:f>Trading_Raw!K168</x:f>
        <x:v>250</x:v>
      </x:c>
      <x:c r="L168" t="n">
        <x:f>Trading_Raw!L168</x:f>
        <x:v>10</x:v>
      </x:c>
      <x:c r="M168" t="n">
        <x:f>Trading_Raw!M168</x:f>
        <x:v>2</x:v>
      </x:c>
      <x:c r="N168" t="str">
        <x:f>Trading_Raw!N168</x:f>
        <x:v>Liquidity sweep</x:v>
      </x:c>
      <x:c r="O168" t="str">
        <x:f>Trading_Raw!O168</x:f>
        <x:v>Ignored funding</x:v>
      </x:c>
      <x:c r="P168" s="76" t="n">
        <x:f>IF(F168="Long",(H168-G168)/G168*K168*L168,(G168-H168)/G168*K168*L168)-M168</x:f>
        <x:v>-53.0264525191666</x:v>
      </x:c>
      <x:c r="Q168" s="78" t="n">
        <x:f>P168/K168</x:f>
        <x:v>-0.21210581007666637</x:v>
      </x:c>
      <x:c r="R168" s="78" t="n">
        <x:f>IF(F168="Long",(G168-I168)/G168,(I168-G168)/G168)</x:f>
        <x:v>0.019682840557144504</x:v>
      </x:c>
      <x:c r="S168" s="78" t="n">
        <x:f>IF(F168="Long",(J168-G168)/G168,(G168-J168)/G168)</x:f>
        <x:v>0.03593006921996378</x:v>
      </x:c>
      <x:c r="T168" s="80" t="n">
        <x:f>IFERROR(P168/(K168*L168*R168),0)</x:f>
        <x:v>-1.0776178847807407</x:v>
      </x:c>
      <x:c r="U168" t="str">
        <x:f>IF(P168&gt;0,"Win",IF(P168&lt;0,"Loss","Breakeven"))</x:f>
        <x:v>Loss</x:v>
      </x:c>
      <x:c r="V168" s="76" t="n">
        <x:f>SUM($P$5:P168)</x:f>
        <x:v>-866.6415856619748</x:v>
      </x:c>
    </x:row>
    <x:row r="169">
      <x:c r="A169" t="n">
        <x:f>Trading_Raw!A169</x:f>
        <x:v>165</x:v>
      </x:c>
      <x:c r="B169" s="72" t="n">
        <x:f>Trading_Raw!B169</x:f>
        <x:v>46100.375</x:v>
      </x:c>
      <x:c r="C169" t="str">
        <x:f>Trading_Raw!C169</x:f>
        <x:v>WLFIUSDT</x:v>
      </x:c>
      <x:c r="D169" t="str">
        <x:f>Trading_Raw!D169</x:f>
        <x:v>OKX</x:v>
      </x:c>
      <x:c r="E169" t="str">
        <x:f>Trading_Raw!E169</x:f>
        <x:v>15m</x:v>
      </x:c>
      <x:c r="F169" t="str">
        <x:f>Trading_Raw!F169</x:f>
        <x:v>Long</x:v>
      </x:c>
      <x:c r="G169" t="n">
        <x:f>Trading_Raw!G169</x:f>
        <x:v>0.054674</x:v>
      </x:c>
      <x:c r="H169" t="n">
        <x:f>Trading_Raw!H169</x:f>
        <x:v>0.053891</x:v>
      </x:c>
      <x:c r="I169" t="n">
        <x:f>Trading_Raw!I169</x:f>
        <x:v>0.053573</x:v>
      </x:c>
      <x:c r="J169" t="n">
        <x:f>Trading_Raw!J169</x:f>
        <x:v>0.057632</x:v>
      </x:c>
      <x:c r="K169" t="n">
        <x:f>Trading_Raw!K169</x:f>
        <x:v>150</x:v>
      </x:c>
      <x:c r="L169" t="n">
        <x:f>Trading_Raw!L169</x:f>
        <x:v>1</x:v>
      </x:c>
      <x:c r="M169" t="n">
        <x:f>Trading_Raw!M169</x:f>
        <x:v>0.12</x:v>
      </x:c>
      <x:c r="N169" t="str">
        <x:f>Trading_Raw!N169</x:f>
        <x:v>OB retest</x:v>
      </x:c>
      <x:c r="O169" t="str">
        <x:f>Trading_Raw!O169</x:f>
        <x:v>None</x:v>
      </x:c>
      <x:c r="P169" s="76" t="n">
        <x:f>IF(F169="Long",(H169-G169)/G169*K169*L169,(G169-H169)/G169*K169*L169)-M169</x:f>
        <x:v>-2.2681874382704734</x:v>
      </x:c>
      <x:c r="Q169" s="78" t="n">
        <x:f>P169/K169</x:f>
        <x:v>-0.015121249588469823</x:v>
      </x:c>
      <x:c r="R169" s="78" t="n">
        <x:f>IF(F169="Long",(G169-I169)/G169,(I169-G169)/G169)</x:f>
        <x:v>0.02013754252478322</x:v>
      </x:c>
      <x:c r="S169" s="78" t="n">
        <x:f>IF(F169="Long",(J169-G169)/G169,(G169-J169)/G169)</x:f>
        <x:v>0.05410249844533055</x:v>
      </x:c>
      <x:c r="T169" s="80" t="n">
        <x:f>IFERROR(P169/(K169*L169*R169),0)</x:f>
        <x:v>-0.7508984559491377</x:v>
      </x:c>
      <x:c r="U169" t="str">
        <x:f>IF(P169&gt;0,"Win",IF(P169&lt;0,"Loss","Breakeven"))</x:f>
        <x:v>Loss</x:v>
      </x:c>
      <x:c r="V169" s="76" t="n">
        <x:f>SUM($P$5:P169)</x:f>
        <x:v>-868.9097731002453</x:v>
      </x:c>
    </x:row>
    <x:row r="170">
      <x:c r="A170" t="n">
        <x:f>Trading_Raw!A170</x:f>
        <x:v>166</x:v>
      </x:c>
      <x:c r="B170" s="72" t="n">
        <x:f>Trading_Raw!B170</x:f>
        <x:v>46065.875</x:v>
      </x:c>
      <x:c r="C170" t="str">
        <x:f>Trading_Raw!C170</x:f>
        <x:v>BNBUSDT</x:v>
      </x:c>
      <x:c r="D170" t="str">
        <x:f>Trading_Raw!D170</x:f>
        <x:v>Bybit</x:v>
      </x:c>
      <x:c r="E170" t="str">
        <x:f>Trading_Raw!E170</x:f>
        <x:v>15m</x:v>
      </x:c>
      <x:c r="F170" t="str">
        <x:f>Trading_Raw!F170</x:f>
        <x:v>Short</x:v>
      </x:c>
      <x:c r="G170" t="n">
        <x:f>Trading_Raw!G170</x:f>
        <x:v>550.004158</x:v>
      </x:c>
      <x:c r="H170" t="n">
        <x:f>Trading_Raw!H170</x:f>
        <x:v>548.702705</x:v>
      </x:c>
      <x:c r="I170" t="n">
        <x:f>Trading_Raw!I170</x:f>
        <x:v>563.204449</x:v>
      </x:c>
      <x:c r="J170" t="n">
        <x:f>Trading_Raw!J170</x:f>
        <x:v>523.608942</x:v>
      </x:c>
      <x:c r="K170" t="n">
        <x:f>Trading_Raw!K170</x:f>
        <x:v>500</x:v>
      </x:c>
      <x:c r="L170" t="n">
        <x:f>Trading_Raw!L170</x:f>
        <x:v>3</x:v>
      </x:c>
      <x:c r="M170" t="n">
        <x:f>Trading_Raw!M170</x:f>
        <x:v>1.2</x:v>
      </x:c>
      <x:c r="N170" t="str">
        <x:f>Trading_Raw!N170</x:f>
        <x:v>OB retest</x:v>
      </x:c>
      <x:c r="O170" t="str">
        <x:f>Trading_Raw!O170</x:f>
        <x:v>Ignored funding</x:v>
      </x:c>
      <x:c r="P170" s="76" t="n">
        <x:f>IF(F170="Long",(H170-G170)/G170*K170*L170,(G170-H170)/G170*K170*L170)-M170</x:f>
        <x:v>2.3493904393353446</x:v>
      </x:c>
      <x:c r="Q170" s="78" t="n">
        <x:f>P170/K170</x:f>
        <x:v>0.00469878087867069</x:v>
      </x:c>
      <x:c r="R170" s="78" t="n">
        <x:f>IF(F170="Long",(G170-I170)/G170,(I170-G170)/G170)</x:f>
        <x:v>0.024000347648280858</x:v>
      </x:c>
      <x:c r="S170" s="78" t="n">
        <x:f>IF(F170="Long",(J170-G170)/G170,(G170-J170)/G170)</x:f>
        <x:v>0.04799093900668294</x:v>
      </x:c>
      <x:c r="T170" s="80" t="n">
        <x:f>IFERROR(P170/(K170*L170*R170),0)</x:f>
        <x:v>0.06525990022492116</x:v>
      </x:c>
      <x:c r="U170" t="str">
        <x:f>IF(P170&gt;0,"Win",IF(P170&lt;0,"Loss","Breakeven"))</x:f>
        <x:v>Win</x:v>
      </x:c>
      <x:c r="V170" s="76" t="n">
        <x:f>SUM($P$5:P170)</x:f>
        <x:v>-866.5603826609099</x:v>
      </x:c>
    </x:row>
    <x:row r="171">
      <x:c r="A171" t="n">
        <x:f>Trading_Raw!A171</x:f>
        <x:v>167</x:v>
      </x:c>
      <x:c r="B171" s="72" t="n">
        <x:f>Trading_Raw!B171</x:f>
        <x:v>46105.791666666664</x:v>
      </x:c>
      <x:c r="C171" t="str">
        <x:f>Trading_Raw!C171</x:f>
        <x:v>BTCUSDT</x:v>
      </x:c>
      <x:c r="D171" t="str">
        <x:f>Trading_Raw!D171</x:f>
        <x:v>Binance</x:v>
      </x:c>
      <x:c r="E171" t="str">
        <x:f>Trading_Raw!E171</x:f>
        <x:v>1h</x:v>
      </x:c>
      <x:c r="F171" t="str">
        <x:f>Trading_Raw!F171</x:f>
        <x:v>Long</x:v>
      </x:c>
      <x:c r="G171" t="n">
        <x:f>Trading_Raw!G171</x:f>
        <x:v>69477.669791</x:v>
      </x:c>
      <x:c r="H171" t="n">
        <x:f>Trading_Raw!H171</x:f>
        <x:v>67694.826666</x:v>
      </x:c>
      <x:c r="I171" t="n">
        <x:f>Trading_Raw!I171</x:f>
        <x:v>68181.219787</x:v>
      </x:c>
      <x:c r="J171" t="n">
        <x:f>Trading_Raw!J171</x:f>
        <x:v>72184.664967</x:v>
      </x:c>
      <x:c r="K171" t="n">
        <x:f>Trading_Raw!K171</x:f>
        <x:v>150</x:v>
      </x:c>
      <x:c r="L171" t="n">
        <x:f>Trading_Raw!L171</x:f>
        <x:v>1</x:v>
      </x:c>
      <x:c r="M171" t="n">
        <x:f>Trading_Raw!M171</x:f>
        <x:v>0.12</x:v>
      </x:c>
      <x:c r="N171" t="str">
        <x:f>Trading_Raw!N171</x:f>
        <x:v>VWAP reclaim</x:v>
      </x:c>
      <x:c r="O171" t="str">
        <x:f>Trading_Raw!O171</x:f>
        <x:v>Oversized</x:v>
      </x:c>
      <x:c r="P171" s="76" t="n">
        <x:f>IF(F171="Long",(H171-G171)/G171*K171*L171,(G171-H171)/G171*K171*L171)-M171</x:f>
        <x:v>-3.969099567594333</x:v>
      </x:c>
      <x:c r="Q171" s="78" t="n">
        <x:f>P171/K171</x:f>
        <x:v>-0.02646066378396222</x:v>
      </x:c>
      <x:c r="R171" s="78" t="n">
        <x:f>IF(F171="Long",(G171-I171)/G171,(I171-G171)/G171)</x:f>
        <x:v>0.018659952296902423</x:v>
      </x:c>
      <x:c r="S171" s="78" t="n">
        <x:f>IF(F171="Long",(J171-G171)/G171,(G171-J171)/G171)</x:f>
        <x:v>0.03896208931795048</x:v>
      </x:c>
      <x:c r="T171" s="80" t="n">
        <x:f>IFERROR(P171/(K171*L171*R171),0)</x:f>
        <x:v>-1.418045628570804</x:v>
      </x:c>
      <x:c r="U171" t="str">
        <x:f>IF(P171&gt;0,"Win",IF(P171&lt;0,"Loss","Breakeven"))</x:f>
        <x:v>Loss</x:v>
      </x:c>
      <x:c r="V171" s="76" t="n">
        <x:f>SUM($P$5:P171)</x:f>
        <x:v>-870.5294822285042</x:v>
      </x:c>
    </x:row>
    <x:row r="172">
      <x:c r="A172" t="n">
        <x:f>Trading_Raw!A172</x:f>
        <x:v>168</x:v>
      </x:c>
      <x:c r="B172" s="72" t="n">
        <x:f>Trading_Raw!B172</x:f>
        <x:v>46061.458333333336</x:v>
      </x:c>
      <x:c r="C172" t="str">
        <x:f>Trading_Raw!C172</x:f>
        <x:v>ETHUSDT</x:v>
      </x:c>
      <x:c r="D172" t="str">
        <x:f>Trading_Raw!D172</x:f>
        <x:v>Bybit</x:v>
      </x:c>
      <x:c r="E172" t="str">
        <x:f>Trading_Raw!E172</x:f>
        <x:v>1h</x:v>
      </x:c>
      <x:c r="F172" t="str">
        <x:f>Trading_Raw!F172</x:f>
        <x:v>Long</x:v>
      </x:c>
      <x:c r="G172" t="n">
        <x:f>Trading_Raw!G172</x:f>
        <x:v>3362.627932</x:v>
      </x:c>
      <x:c r="H172" t="n">
        <x:f>Trading_Raw!H172</x:f>
        <x:v>3451.621077</x:v>
      </x:c>
      <x:c r="I172" t="n">
        <x:f>Trading_Raw!I172</x:f>
        <x:v>3326.253229</x:v>
      </x:c>
      <x:c r="J172" t="n">
        <x:f>Trading_Raw!J172</x:f>
        <x:v>3498.161693</x:v>
      </x:c>
      <x:c r="K172" t="n">
        <x:f>Trading_Raw!K172</x:f>
        <x:v>1000</x:v>
      </x:c>
      <x:c r="L172" t="n">
        <x:f>Trading_Raw!L172</x:f>
        <x:v>10</x:v>
      </x:c>
      <x:c r="M172" t="n">
        <x:f>Trading_Raw!M172</x:f>
        <x:v>8</x:v>
      </x:c>
      <x:c r="N172" t="str">
        <x:f>Trading_Raw!N172</x:f>
        <x:v>Trend continuation</x:v>
      </x:c>
      <x:c r="O172" t="str">
        <x:f>Trading_Raw!O172</x:f>
        <x:v>Ignored funding</x:v>
      </x:c>
      <x:c r="P172" s="76" t="n">
        <x:f>IF(F172="Long",(H172-G172)/G172*K172*L172,(G172-H172)/G172*K172*L172)-M172</x:f>
        <x:v>256.6535590604852</x:v>
      </x:c>
      <x:c r="Q172" s="78" t="n">
        <x:f>P172/K172</x:f>
        <x:v>0.2566535590604852</x:v>
      </x:c>
      <x:c r="R172" s="78" t="n">
        <x:f>IF(F172="Long",(G172-I172)/G172,(I172-G172)/G172)</x:f>
        <x:v>0.010817343974884925</x:v>
      </x:c>
      <x:c r="S172" s="78" t="n">
        <x:f>IF(F172="Long",(J172-G172)/G172,(G172-J172)/G172)</x:f>
        <x:v>0.04030590470929334</x:v>
      </x:c>
      <x:c r="T172" s="80" t="n">
        <x:f>IFERROR(P172/(K172*L172*R172),0)</x:f>
        <x:v>2.3726116101731476</x:v>
      </x:c>
      <x:c r="U172" t="str">
        <x:f>IF(P172&gt;0,"Win",IF(P172&lt;0,"Loss","Breakeven"))</x:f>
        <x:v>Win</x:v>
      </x:c>
      <x:c r="V172" s="76" t="n">
        <x:f>SUM($P$5:P172)</x:f>
        <x:v>-613.875923168019</x:v>
      </x:c>
    </x:row>
    <x:row r="173">
      <x:c r="A173" t="n">
        <x:f>Trading_Raw!A173</x:f>
        <x:v>169</x:v>
      </x:c>
      <x:c r="B173" s="72" t="n">
        <x:f>Trading_Raw!B173</x:f>
        <x:v>46042.708333333336</x:v>
      </x:c>
      <x:c r="C173" t="str">
        <x:f>Trading_Raw!C173</x:f>
        <x:v>BNBUSDT</x:v>
      </x:c>
      <x:c r="D173" t="str">
        <x:f>Trading_Raw!D173</x:f>
        <x:v>Binance</x:v>
      </x:c>
      <x:c r="E173" t="str">
        <x:f>Trading_Raw!E173</x:f>
        <x:v>15m</x:v>
      </x:c>
      <x:c r="F173" t="str">
        <x:f>Trading_Raw!F173</x:f>
        <x:v>Long</x:v>
      </x:c>
      <x:c r="G173" t="n">
        <x:f>Trading_Raw!G173</x:f>
        <x:v>609.002935</x:v>
      </x:c>
      <x:c r="H173" t="n">
        <x:f>Trading_Raw!H173</x:f>
        <x:v>585.564798</x:v>
      </x:c>
      <x:c r="I173" t="n">
        <x:f>Trading_Raw!I173</x:f>
        <x:v>596.071128</x:v>
      </x:c>
      <x:c r="J173" t="n">
        <x:f>Trading_Raw!J173</x:f>
        <x:v>636.762709</x:v>
      </x:c>
      <x:c r="K173" t="n">
        <x:f>Trading_Raw!K173</x:f>
        <x:v>500</x:v>
      </x:c>
      <x:c r="L173" t="n">
        <x:f>Trading_Raw!L173</x:f>
        <x:v>10</x:v>
      </x:c>
      <x:c r="M173" t="n">
        <x:f>Trading_Raw!M173</x:f>
        <x:v>4</x:v>
      </x:c>
      <x:c r="N173" t="str">
        <x:f>Trading_Raw!N173</x:f>
        <x:v>VWAP reclaim</x:v>
      </x:c>
      <x:c r="O173" t="str">
        <x:f>Trading_Raw!O173</x:f>
        <x:v>None</x:v>
      </x:c>
      <x:c r="P173" s="76" t="n">
        <x:f>IF(F173="Long",(H173-G173)/G173*K173*L173,(G173-H173)/G173*K173*L173)-M173</x:f>
        <x:v>-196.43041086493275</x:v>
      </x:c>
      <x:c r="Q173" s="78" t="n">
        <x:f>P173/K173</x:f>
        <x:v>-0.39286082172986553</x:v>
      </x:c>
      <x:c r="R173" s="78" t="n">
        <x:f>IF(F173="Long",(G173-I173)/G173,(I173-G173)/G173)</x:f>
        <x:v>0.021234391916354123</x:v>
      </x:c>
      <x:c r="S173" s="78" t="n">
        <x:f>IF(F173="Long",(J173-G173)/G173,(G173-J173)/G173)</x:f>
        <x:v>0.04558233204573964</x:v>
      </x:c>
      <x:c r="T173" s="80" t="n">
        <x:f>IFERROR(P173/(K173*L173*R173),0)</x:f>
        <x:v>-1.8501157145324012</x:v>
      </x:c>
      <x:c r="U173" t="str">
        <x:f>IF(P173&gt;0,"Win",IF(P173&lt;0,"Loss","Breakeven"))</x:f>
        <x:v>Loss</x:v>
      </x:c>
      <x:c r="V173" s="76" t="n">
        <x:f>SUM($P$5:P173)</x:f>
        <x:v>-810.3063340329518</x:v>
      </x:c>
    </x:row>
    <x:row r="174">
      <x:c r="A174" t="n">
        <x:f>Trading_Raw!A174</x:f>
        <x:v>170</x:v>
      </x:c>
      <x:c r="B174" s="72" t="n">
        <x:f>Trading_Raw!B174</x:f>
        <x:v>46155.375</x:v>
      </x:c>
      <x:c r="C174" t="str">
        <x:f>Trading_Raw!C174</x:f>
        <x:v>FARTCOINUSDT</x:v>
      </x:c>
      <x:c r="D174" t="str">
        <x:f>Trading_Raw!D174</x:f>
        <x:v>Bybit</x:v>
      </x:c>
      <x:c r="E174" t="str">
        <x:f>Trading_Raw!E174</x:f>
        <x:v>1h</x:v>
      </x:c>
      <x:c r="F174" t="str">
        <x:f>Trading_Raw!F174</x:f>
        <x:v>Short</x:v>
      </x:c>
      <x:c r="G174" t="n">
        <x:f>Trading_Raw!G174</x:f>
        <x:v>0.151804</x:v>
      </x:c>
      <x:c r="H174" t="n">
        <x:f>Trading_Raw!H174</x:f>
        <x:v>0.154616</x:v>
      </x:c>
      <x:c r="I174" t="n">
        <x:f>Trading_Raw!I174</x:f>
        <x:v>0.154435</x:v>
      </x:c>
      <x:c r="J174" t="n">
        <x:f>Trading_Raw!J174</x:f>
        <x:v>0.145795</x:v>
      </x:c>
      <x:c r="K174" t="n">
        <x:f>Trading_Raw!K174</x:f>
        <x:v>150</x:v>
      </x:c>
      <x:c r="L174" t="n">
        <x:f>Trading_Raw!L174</x:f>
        <x:v>5</x:v>
      </x:c>
      <x:c r="M174" t="n">
        <x:f>Trading_Raw!M174</x:f>
        <x:v>0.6</x:v>
      </x:c>
      <x:c r="N174" t="str">
        <x:f>Trading_Raw!N174</x:f>
        <x:v>OB retest</x:v>
      </x:c>
      <x:c r="O174" t="str">
        <x:f>Trading_Raw!O174</x:f>
        <x:v>Ignored funding</x:v>
      </x:c>
      <x:c r="P174" s="76" t="n">
        <x:f>IF(F174="Long",(H174-G174)/G174*K174*L174,(G174-H174)/G174*K174*L174)-M174</x:f>
        <x:v>-14.492914547706297</x:v>
      </x:c>
      <x:c r="Q174" s="78" t="n">
        <x:f>P174/K174</x:f>
        <x:v>-0.09661943031804197</x:v>
      </x:c>
      <x:c r="R174" s="78" t="n">
        <x:f>IF(F174="Long",(G174-I174)/G174,(I174-G174)/G174)</x:f>
        <x:v>0.017331559115701792</x:v>
      </x:c>
      <x:c r="S174" s="78" t="n">
        <x:f>IF(F174="Long",(J174-G174)/G174,(G174-J174)/G174)</x:f>
        <x:v>0.03958393718215585</x:v>
      </x:c>
      <x:c r="T174" s="80" t="n">
        <x:f>IFERROR(P174/(K174*L174*R174),0)</x:f>
        <x:v>-1.114953705815285</x:v>
      </x:c>
      <x:c r="U174" t="str">
        <x:f>IF(P174&gt;0,"Win",IF(P174&lt;0,"Loss","Breakeven"))</x:f>
        <x:v>Loss</x:v>
      </x:c>
      <x:c r="V174" s="76" t="n">
        <x:f>SUM($P$5:P174)</x:f>
        <x:v>-824.7992485806581</x:v>
      </x:c>
    </x:row>
    <x:row r="175">
      <x:c r="A175" t="n">
        <x:f>Trading_Raw!A175</x:f>
        <x:v>171</x:v>
      </x:c>
      <x:c r="B175" s="72" t="n">
        <x:f>Trading_Raw!B175</x:f>
        <x:v>46054.916666666664</x:v>
      </x:c>
      <x:c r="C175" t="str">
        <x:f>Trading_Raw!C175</x:f>
        <x:v>FARTCOINUSDT</x:v>
      </x:c>
      <x:c r="D175" t="str">
        <x:f>Trading_Raw!D175</x:f>
        <x:v>OKX</x:v>
      </x:c>
      <x:c r="E175" t="str">
        <x:f>Trading_Raw!E175</x:f>
        <x:v>5m</x:v>
      </x:c>
      <x:c r="F175" t="str">
        <x:f>Trading_Raw!F175</x:f>
        <x:v>Long</x:v>
      </x:c>
      <x:c r="G175" t="n">
        <x:f>Trading_Raw!G175</x:f>
        <x:v>0.148483</x:v>
      </x:c>
      <x:c r="H175" t="n">
        <x:f>Trading_Raw!H175</x:f>
        <x:v>0.14568</x:v>
      </x:c>
      <x:c r="I175" t="n">
        <x:f>Trading_Raw!I175</x:f>
        <x:v>0.147135</x:v>
      </x:c>
      <x:c r="J175" t="n">
        <x:f>Trading_Raw!J175</x:f>
        <x:v>0.155648</x:v>
      </x:c>
      <x:c r="K175" t="n">
        <x:f>Trading_Raw!K175</x:f>
        <x:v>200</x:v>
      </x:c>
      <x:c r="L175" t="n">
        <x:f>Trading_Raw!L175</x:f>
        <x:v>1</x:v>
      </x:c>
      <x:c r="M175" t="n">
        <x:f>Trading_Raw!M175</x:f>
        <x:v>0.16</x:v>
      </x:c>
      <x:c r="N175" t="str">
        <x:f>Trading_Raw!N175</x:f>
        <x:v>VWAP reclaim</x:v>
      </x:c>
      <x:c r="O175" t="str">
        <x:f>Trading_Raw!O175</x:f>
        <x:v>Ignored funding</x:v>
      </x:c>
      <x:c r="P175" s="76" t="n">
        <x:f>IF(F175="Long",(H175-G175)/G175*K175*L175,(G175-H175)/G175*K175*L175)-M175</x:f>
        <x:v>-3.9355163890815783</x:v>
      </x:c>
      <x:c r="Q175" s="78" t="n">
        <x:f>P175/K175</x:f>
        <x:v>-0.01967758194540789</x:v>
      </x:c>
      <x:c r="R175" s="78" t="n">
        <x:f>IF(F175="Long",(G175-I175)/G175,(I175-G175)/G175)</x:f>
        <x:v>0.009078480364755668</x:v>
      </x:c>
      <x:c r="S175" s="78" t="n">
        <x:f>IF(F175="Long",(J175-G175)/G175,(G175-J175)/G175)</x:f>
        <x:v>0.04825468235420893</x:v>
      </x:c>
      <x:c r="T175" s="80" t="n">
        <x:f>IFERROR(P175/(K175*L175*R175),0)</x:f>
        <x:v>-2.167497329376829</x:v>
      </x:c>
      <x:c r="U175" t="str">
        <x:f>IF(P175&gt;0,"Win",IF(P175&lt;0,"Loss","Breakeven"))</x:f>
        <x:v>Loss</x:v>
      </x:c>
      <x:c r="V175" s="76" t="n">
        <x:f>SUM($P$5:P175)</x:f>
        <x:v>-828.7347649697397</x:v>
      </x:c>
    </x:row>
    <x:row r="176">
      <x:c r="A176" t="n">
        <x:f>Trading_Raw!A176</x:f>
        <x:v>172</x:v>
      </x:c>
      <x:c r="B176" s="72" t="n">
        <x:f>Trading_Raw!B176</x:f>
        <x:v>46114.208333333336</x:v>
      </x:c>
      <x:c r="C176" t="str">
        <x:f>Trading_Raw!C176</x:f>
        <x:v>SOLUSDT</x:v>
      </x:c>
      <x:c r="D176" t="str">
        <x:f>Trading_Raw!D176</x:f>
        <x:v>OKX</x:v>
      </x:c>
      <x:c r="E176" t="str">
        <x:f>Trading_Raw!E176</x:f>
        <x:v>3m</x:v>
      </x:c>
      <x:c r="F176" t="str">
        <x:f>Trading_Raw!F176</x:f>
        <x:v>Short</x:v>
      </x:c>
      <x:c r="G176" t="n">
        <x:f>Trading_Raw!G176</x:f>
        <x:v>134.403373</x:v>
      </x:c>
      <x:c r="H176" t="n">
        <x:f>Trading_Raw!H176</x:f>
        <x:v>131.340062</x:v>
      </x:c>
      <x:c r="I176" t="n">
        <x:f>Trading_Raw!I176</x:f>
        <x:v>136.758406</x:v>
      </x:c>
      <x:c r="J176" t="n">
        <x:f>Trading_Raw!J176</x:f>
        <x:v>131.455482</x:v>
      </x:c>
      <x:c r="K176" t="n">
        <x:f>Trading_Raw!K176</x:f>
        <x:v>1000</x:v>
      </x:c>
      <x:c r="L176" t="n">
        <x:f>Trading_Raw!L176</x:f>
        <x:v>3</x:v>
      </x:c>
      <x:c r="M176" t="n">
        <x:f>Trading_Raw!M176</x:f>
        <x:v>2.4</x:v>
      </x:c>
      <x:c r="N176" t="str">
        <x:f>Trading_Raw!N176</x:f>
        <x:v>CVD divergence</x:v>
      </x:c>
      <x:c r="O176" t="str">
        <x:f>Trading_Raw!O176</x:f>
        <x:v>No HTF confirmation</x:v>
      </x:c>
      <x:c r="P176" s="76" t="n">
        <x:f>IF(F176="Long",(H176-G176)/G176*K176*L176,(G176-H176)/G176*K176*L176)-M176</x:f>
        <x:v>65.9757616708027</x:v>
      </x:c>
      <x:c r="Q176" s="78" t="n">
        <x:f>P176/K176</x:f>
        <x:v>0.0659757616708027</x:v>
      </x:c>
      <x:c r="R176" s="78" t="n">
        <x:f>IF(F176="Long",(G176-I176)/G176,(I176-G176)/G176)</x:f>
        <x:v>0.017522127216256844</x:v>
      </x:c>
      <x:c r="S176" s="78" t="n">
        <x:f>IF(F176="Long",(J176-G176)/G176,(G176-J176)/G176)</x:f>
        <x:v>0.021933162347049125</x:v>
      </x:c>
      <x:c r="T176" s="80" t="n">
        <x:f>IFERROR(P176/(K176*L176*R176),0)</x:f>
        <x:v>1.2550942180427935</x:v>
      </x:c>
      <x:c r="U176" t="str">
        <x:f>IF(P176&gt;0,"Win",IF(P176&lt;0,"Loss","Breakeven"))</x:f>
        <x:v>Win</x:v>
      </x:c>
      <x:c r="V176" s="76" t="n">
        <x:f>SUM($P$5:P176)</x:f>
        <x:v>-762.7590032989369</x:v>
      </x:c>
    </x:row>
    <x:row r="177">
      <x:c r="A177" t="n">
        <x:f>Trading_Raw!A177</x:f>
        <x:v>173</x:v>
      </x:c>
      <x:c r="B177" s="72" t="n">
        <x:f>Trading_Raw!B177</x:f>
        <x:v>46028.083333333336</x:v>
      </x:c>
      <x:c r="C177" t="str">
        <x:f>Trading_Raw!C177</x:f>
        <x:v>ETHUSDT</x:v>
      </x:c>
      <x:c r="D177" t="str">
        <x:f>Trading_Raw!D177</x:f>
        <x:v>Binance</x:v>
      </x:c>
      <x:c r="E177" t="str">
        <x:f>Trading_Raw!E177</x:f>
        <x:v>15m</x:v>
      </x:c>
      <x:c r="F177" t="str">
        <x:f>Trading_Raw!F177</x:f>
        <x:v>Short</x:v>
      </x:c>
      <x:c r="G177" t="n">
        <x:f>Trading_Raw!G177</x:f>
        <x:v>3893.639387</x:v>
      </x:c>
      <x:c r="H177" t="n">
        <x:f>Trading_Raw!H177</x:f>
        <x:v>3965.919897</x:v>
      </x:c>
      <x:c r="I177" t="n">
        <x:f>Trading_Raw!I177</x:f>
        <x:v>3940.753299</x:v>
      </x:c>
      <x:c r="J177" t="n">
        <x:f>Trading_Raw!J177</x:f>
        <x:v>3820.248039</x:v>
      </x:c>
      <x:c r="K177" t="n">
        <x:f>Trading_Raw!K177</x:f>
        <x:v>1000</x:v>
      </x:c>
      <x:c r="L177" t="n">
        <x:f>Trading_Raw!L177</x:f>
        <x:v>5</x:v>
      </x:c>
      <x:c r="M177" t="n">
        <x:f>Trading_Raw!M177</x:f>
        <x:v>4</x:v>
      </x:c>
      <x:c r="N177" t="str">
        <x:f>Trading_Raw!N177</x:f>
        <x:v>Trend continuation</x:v>
      </x:c>
      <x:c r="O177" t="str">
        <x:f>Trading_Raw!O177</x:f>
        <x:v>Oversized</x:v>
      </x:c>
      <x:c r="P177" s="76" t="n">
        <x:f>IF(F177="Long",(H177-G177)/G177*K177*L177,(G177-H177)/G177*K177*L177)-M177</x:f>
        <x:v>-96.81870098362046</x:v>
      </x:c>
      <x:c r="Q177" s="78" t="n">
        <x:f>P177/K177</x:f>
        <x:v>-0.09681870098362046</x:v>
      </x:c>
      <x:c r="R177" s="78" t="n">
        <x:f>IF(F177="Long",(G177-I177)/G177,(I177-G177)/G177)</x:f>
        <x:v>0.01210022483265983</x:v>
      </x:c>
      <x:c r="S177" s="78" t="n">
        <x:f>IF(F177="Long",(J177-G177)/G177,(G177-J177)/G177)</x:f>
        <x:v>0.0188490357491856</x:v>
      </x:c>
      <x:c r="T177" s="80" t="n">
        <x:f>IFERROR(P177/(K177*L177*R177),0)</x:f>
        <x:v>-1.6002793720377195</x:v>
      </x:c>
      <x:c r="U177" t="str">
        <x:f>IF(P177&gt;0,"Win",IF(P177&lt;0,"Loss","Breakeven"))</x:f>
        <x:v>Loss</x:v>
      </x:c>
      <x:c r="V177" s="76" t="n">
        <x:f>SUM($P$5:P177)</x:f>
        <x:v>-859.5777042825574</x:v>
      </x:c>
    </x:row>
    <x:row r="178">
      <x:c r="A178" t="n">
        <x:f>Trading_Raw!A178</x:f>
        <x:v>174</x:v>
      </x:c>
      <x:c r="B178" s="72" t="n">
        <x:f>Trading_Raw!B178</x:f>
        <x:v>46064.625</x:v>
      </x:c>
      <x:c r="C178" t="str">
        <x:f>Trading_Raw!C178</x:f>
        <x:v>FARTCOINUSDT</x:v>
      </x:c>
      <x:c r="D178" t="str">
        <x:f>Trading_Raw!D178</x:f>
        <x:v>OKX</x:v>
      </x:c>
      <x:c r="E178" t="str">
        <x:f>Trading_Raw!E178</x:f>
        <x:v>15m</x:v>
      </x:c>
      <x:c r="F178" t="str">
        <x:f>Trading_Raw!F178</x:f>
        <x:v>Short</x:v>
      </x:c>
      <x:c r="G178" t="n">
        <x:f>Trading_Raw!G178</x:f>
        <x:v>0.180046</x:v>
      </x:c>
      <x:c r="H178" t="n">
        <x:f>Trading_Raw!H178</x:f>
        <x:v>0.173827</x:v>
      </x:c>
      <x:c r="I178" t="n">
        <x:f>Trading_Raw!I178</x:f>
        <x:v>0.183462</x:v>
      </x:c>
      <x:c r="J178" t="n">
        <x:f>Trading_Raw!J178</x:f>
        <x:v>0.172877</x:v>
      </x:c>
      <x:c r="K178" t="n">
        <x:f>Trading_Raw!K178</x:f>
        <x:v>300</x:v>
      </x:c>
      <x:c r="L178" t="n">
        <x:f>Trading_Raw!L178</x:f>
        <x:v>1</x:v>
      </x:c>
      <x:c r="M178" t="n">
        <x:f>Trading_Raw!M178</x:f>
        <x:v>0.24</x:v>
      </x:c>
      <x:c r="N178" t="str">
        <x:f>Trading_Raw!N178</x:f>
        <x:v>CVD divergence</x:v>
      </x:c>
      <x:c r="O178" t="str">
        <x:f>Trading_Raw!O178</x:f>
        <x:v>Ignored funding</x:v>
      </x:c>
      <x:c r="P178" s="76" t="n">
        <x:f>IF(F178="Long",(H178-G178)/G178*K178*L178,(G178-H178)/G178*K178*L178)-M178</x:f>
        <x:v>10.122351843417796</x:v>
      </x:c>
      <x:c r="Q178" s="78" t="n">
        <x:f>P178/K178</x:f>
        <x:v>0.033741172811392654</x:v>
      </x:c>
      <x:c r="R178" s="78" t="n">
        <x:f>IF(F178="Long",(G178-I178)/G178,(I178-G178)/G178)</x:f>
        <x:v>0.018972929140330663</x:v>
      </x:c>
      <x:c r="S178" s="78" t="n">
        <x:f>IF(F178="Long",(J178-G178)/G178,(G178-J178)/G178)</x:f>
        <x:v>0.039817602168334805</x:v>
      </x:c>
      <x:c r="T178" s="80" t="n">
        <x:f>IFERROR(P178/(K178*L178*R178),0)</x:f>
        <x:v>1.7783850117096156</x:v>
      </x:c>
      <x:c r="U178" t="str">
        <x:f>IF(P178&gt;0,"Win",IF(P178&lt;0,"Loss","Breakeven"))</x:f>
        <x:v>Win</x:v>
      </x:c>
      <x:c r="V178" s="76" t="n">
        <x:f>SUM($P$5:P178)</x:f>
        <x:v>-849.4553524391396</x:v>
      </x:c>
    </x:row>
    <x:row r="179">
      <x:c r="A179" t="n">
        <x:f>Trading_Raw!A179</x:f>
        <x:v>175</x:v>
      </x:c>
      <x:c r="B179" s="72" t="n">
        <x:f>Trading_Raw!B179</x:f>
        <x:v>46046.208333333336</x:v>
      </x:c>
      <x:c r="C179" t="str">
        <x:f>Trading_Raw!C179</x:f>
        <x:v>XRPUSDT</x:v>
      </x:c>
      <x:c r="D179" t="str">
        <x:f>Trading_Raw!D179</x:f>
        <x:v>Binance</x:v>
      </x:c>
      <x:c r="E179" t="str">
        <x:f>Trading_Raw!E179</x:f>
        <x:v>1h</x:v>
      </x:c>
      <x:c r="F179" t="str">
        <x:f>Trading_Raw!F179</x:f>
        <x:v>Long</x:v>
      </x:c>
      <x:c r="G179" t="n">
        <x:f>Trading_Raw!G179</x:f>
        <x:v>0.462902</x:v>
      </x:c>
      <x:c r="H179" t="n">
        <x:f>Trading_Raw!H179</x:f>
        <x:v>0.473893</x:v>
      </x:c>
      <x:c r="I179" t="n">
        <x:f>Trading_Raw!I179</x:f>
        <x:v>0.454457</x:v>
      </x:c>
      <x:c r="J179" t="n">
        <x:f>Trading_Raw!J179</x:f>
        <x:v>0.479435</x:v>
      </x:c>
      <x:c r="K179" t="n">
        <x:f>Trading_Raw!K179</x:f>
        <x:v>250</x:v>
      </x:c>
      <x:c r="L179" t="n">
        <x:f>Trading_Raw!L179</x:f>
        <x:v>2</x:v>
      </x:c>
      <x:c r="M179" t="n">
        <x:f>Trading_Raw!M179</x:f>
        <x:v>0.4</x:v>
      </x:c>
      <x:c r="N179" t="str">
        <x:f>Trading_Raw!N179</x:f>
        <x:v>Range deviation</x:v>
      </x:c>
      <x:c r="O179" t="str">
        <x:f>Trading_Raw!O179</x:f>
        <x:v>None</x:v>
      </x:c>
      <x:c r="P179" s="76" t="n">
        <x:f>IF(F179="Long",(H179-G179)/G179*K179*L179,(G179-H179)/G179*K179*L179)-M179</x:f>
        <x:v>11.47184328432371</x:v>
      </x:c>
      <x:c r="Q179" s="78" t="n">
        <x:f>P179/K179</x:f>
        <x:v>0.04588737313729484</x:v>
      </x:c>
      <x:c r="R179" s="78" t="n">
        <x:f>IF(F179="Long",(G179-I179)/G179,(I179-G179)/G179)</x:f>
        <x:v>0.018243602317553134</x:v>
      </x:c>
      <x:c r="S179" s="78" t="n">
        <x:f>IF(F179="Long",(J179-G179)/G179,(G179-J179)/G179)</x:f>
        <x:v>0.0357159830806521</x:v>
      </x:c>
      <x:c r="T179" s="80" t="n">
        <x:f>IFERROR(P179/(K179*L179*R179),0)</x:f>
        <x:v>1.2576291770278332</x:v>
      </x:c>
      <x:c r="U179" t="str">
        <x:f>IF(P179&gt;0,"Win",IF(P179&lt;0,"Loss","Breakeven"))</x:f>
        <x:v>Win</x:v>
      </x:c>
      <x:c r="V179" s="76" t="n">
        <x:f>SUM($P$5:P179)</x:f>
        <x:v>-837.9835091548159</x:v>
      </x:c>
    </x:row>
    <x:row r="180">
      <x:c r="A180" t="n">
        <x:f>Trading_Raw!A180</x:f>
        <x:v>176</x:v>
      </x:c>
      <x:c r="B180" s="72" t="n">
        <x:f>Trading_Raw!B180</x:f>
        <x:v>46171.75</x:v>
      </x:c>
      <x:c r="C180" t="str">
        <x:f>Trading_Raw!C180</x:f>
        <x:v>ETHUSDT</x:v>
      </x:c>
      <x:c r="D180" t="str">
        <x:f>Trading_Raw!D180</x:f>
        <x:v>OKX</x:v>
      </x:c>
      <x:c r="E180" t="str">
        <x:f>Trading_Raw!E180</x:f>
        <x:v>1h</x:v>
      </x:c>
      <x:c r="F180" t="str">
        <x:f>Trading_Raw!F180</x:f>
        <x:v>Long</x:v>
      </x:c>
      <x:c r="G180" t="n">
        <x:f>Trading_Raw!G180</x:f>
        <x:v>3317.318618</x:v>
      </x:c>
      <x:c r="H180" t="n">
        <x:f>Trading_Raw!H180</x:f>
        <x:v>3301.420609</x:v>
      </x:c>
      <x:c r="I180" t="n">
        <x:f>Trading_Raw!I180</x:f>
        <x:v>3235.870406</x:v>
      </x:c>
      <x:c r="J180" t="n">
        <x:f>Trading_Raw!J180</x:f>
        <x:v>3412.502068</x:v>
      </x:c>
      <x:c r="K180" t="n">
        <x:f>Trading_Raw!K180</x:f>
        <x:v>250</x:v>
      </x:c>
      <x:c r="L180" t="n">
        <x:f>Trading_Raw!L180</x:f>
        <x:v>1</x:v>
      </x:c>
      <x:c r="M180" t="n">
        <x:f>Trading_Raw!M180</x:f>
        <x:v>0.2</x:v>
      </x:c>
      <x:c r="N180" t="str">
        <x:f>Trading_Raw!N180</x:f>
        <x:v>OB retest</x:v>
      </x:c>
      <x:c r="O180" t="str">
        <x:f>Trading_Raw!O180</x:f>
        <x:v>No HTF confirmation</x:v>
      </x:c>
      <x:c r="P180" s="76" t="n">
        <x:f>IF(F180="Long",(H180-G180)/G180*K180*L180,(G180-H180)/G180*K180*L180)-M180</x:f>
        <x:v>-1.3981068771730507</x:v>
      </x:c>
      <x:c r="Q180" s="78" t="n">
        <x:f>P180/K180</x:f>
        <x:v>-0.005592427508692203</x:v>
      </x:c>
      <x:c r="R180" s="78" t="n">
        <x:f>IF(F180="Long",(G180-I180)/G180,(I180-G180)/G180)</x:f>
        <x:v>0.024552423622517344</x:v>
      </x:c>
      <x:c r="S180" s="78" t="n">
        <x:f>IF(F180="Long",(J180-G180)/G180,(G180-J180)/G180)</x:f>
        <x:v>0.0286928875277545</x:v>
      </x:c>
      <x:c r="T180" s="80" t="n">
        <x:f>IFERROR(P180/(K180*L180*R180),0)</x:f>
        <x:v>-0.2277749681527699</x:v>
      </x:c>
      <x:c r="U180" t="str">
        <x:f>IF(P180&gt;0,"Win",IF(P180&lt;0,"Loss","Breakeven"))</x:f>
        <x:v>Loss</x:v>
      </x:c>
      <x:c r="V180" s="76" t="n">
        <x:f>SUM($P$5:P180)</x:f>
        <x:v>-839.381616031989</x:v>
      </x:c>
    </x:row>
    <x:row r="181">
      <x:c r="A181" t="n">
        <x:f>Trading_Raw!A181</x:f>
        <x:v>177</x:v>
      </x:c>
      <x:c r="B181" s="72" t="n">
        <x:f>Trading_Raw!B181</x:f>
        <x:v>46129.333333333336</x:v>
      </x:c>
      <x:c r="C181" t="str">
        <x:f>Trading_Raw!C181</x:f>
        <x:v>XRPUSDT</x:v>
      </x:c>
      <x:c r="D181" t="str">
        <x:f>Trading_Raw!D181</x:f>
        <x:v>Bybit</x:v>
      </x:c>
      <x:c r="E181" t="str">
        <x:f>Trading_Raw!E181</x:f>
        <x:v>3m</x:v>
      </x:c>
      <x:c r="F181" t="str">
        <x:f>Trading_Raw!F181</x:f>
        <x:v>Short</x:v>
      </x:c>
      <x:c r="G181" t="n">
        <x:f>Trading_Raw!G181</x:f>
        <x:v>0.451912</x:v>
      </x:c>
      <x:c r="H181" t="n">
        <x:f>Trading_Raw!H181</x:f>
        <x:v>0.47586</x:v>
      </x:c>
      <x:c r="I181" t="n">
        <x:f>Trading_Raw!I181</x:f>
        <x:v>0.463004</x:v>
      </x:c>
      <x:c r="J181" t="n">
        <x:f>Trading_Raw!J181</x:f>
        <x:v>0.43887</x:v>
      </x:c>
      <x:c r="K181" t="n">
        <x:f>Trading_Raw!K181</x:f>
        <x:v>1000</x:v>
      </x:c>
      <x:c r="L181" t="n">
        <x:f>Trading_Raw!L181</x:f>
        <x:v>5</x:v>
      </x:c>
      <x:c r="M181" t="n">
        <x:f>Trading_Raw!M181</x:f>
        <x:v>4</x:v>
      </x:c>
      <x:c r="N181" t="str">
        <x:f>Trading_Raw!N181</x:f>
        <x:v>OB retest</x:v>
      </x:c>
      <x:c r="O181" t="str">
        <x:f>Trading_Raw!O181</x:f>
        <x:v>Late entry</x:v>
      </x:c>
      <x:c r="P181" s="76" t="n">
        <x:f>IF(F181="Long",(H181-G181)/G181*K181*L181,(G181-H181)/G181*K181*L181)-M181</x:f>
        <x:v>-268.9630901591463</x:v>
      </x:c>
      <x:c r="Q181" s="78" t="n">
        <x:f>P181/K181</x:f>
        <x:v>-0.2689630901591463</x:v>
      </x:c>
      <x:c r="R181" s="78" t="n">
        <x:f>IF(F181="Long",(G181-I181)/G181,(I181-G181)/G181)</x:f>
        <x:v>0.02454460160385218</x:v>
      </x:c>
      <x:c r="S181" s="78" t="n">
        <x:f>IF(F181="Long",(J181-G181)/G181,(G181-J181)/G181)</x:f>
        <x:v>0.02885960098426242</x:v>
      </x:c>
      <x:c r="T181" s="80" t="n">
        <x:f>IFERROR(P181/(K181*L181*R181),0)</x:f>
        <x:v>-2.1916272628921676</x:v>
      </x:c>
      <x:c r="U181" t="str">
        <x:f>IF(P181&gt;0,"Win",IF(P181&lt;0,"Loss","Breakeven"))</x:f>
        <x:v>Loss</x:v>
      </x:c>
      <x:c r="V181" s="76" t="n">
        <x:f>SUM($P$5:P181)</x:f>
        <x:v>-1108.3447061911352</x:v>
      </x:c>
    </x:row>
    <x:row r="182">
      <x:c r="A182" t="n">
        <x:f>Trading_Raw!A182</x:f>
        <x:v>178</x:v>
      </x:c>
      <x:c r="B182" s="72" t="n">
        <x:f>Trading_Raw!B182</x:f>
        <x:v>46122.416666666664</x:v>
      </x:c>
      <x:c r="C182" t="str">
        <x:f>Trading_Raw!C182</x:f>
        <x:v>BTCUSDT</x:v>
      </x:c>
      <x:c r="D182" t="str">
        <x:f>Trading_Raw!D182</x:f>
        <x:v>Bybit</x:v>
      </x:c>
      <x:c r="E182" t="str">
        <x:f>Trading_Raw!E182</x:f>
        <x:v>15m</x:v>
      </x:c>
      <x:c r="F182" t="str">
        <x:f>Trading_Raw!F182</x:f>
        <x:v>Long</x:v>
      </x:c>
      <x:c r="G182" t="n">
        <x:f>Trading_Raw!G182</x:f>
        <x:v>65750.117375</x:v>
      </x:c>
      <x:c r="H182" t="n">
        <x:f>Trading_Raw!H182</x:f>
        <x:v>65601.317889</x:v>
      </x:c>
      <x:c r="I182" t="n">
        <x:f>Trading_Raw!I182</x:f>
        <x:v>64571.30364</x:v>
      </x:c>
      <x:c r="J182" t="n">
        <x:f>Trading_Raw!J182</x:f>
        <x:v>66773.456723</x:v>
      </x:c>
      <x:c r="K182" t="n">
        <x:f>Trading_Raw!K182</x:f>
        <x:v>500</x:v>
      </x:c>
      <x:c r="L182" t="n">
        <x:f>Trading_Raw!L182</x:f>
        <x:v>2</x:v>
      </x:c>
      <x:c r="M182" t="n">
        <x:f>Trading_Raw!M182</x:f>
        <x:v>0.8</x:v>
      </x:c>
      <x:c r="N182" t="str">
        <x:f>Trading_Raw!N182</x:f>
        <x:v>VWAP reclaim</x:v>
      </x:c>
      <x:c r="O182" t="str">
        <x:f>Trading_Raw!O182</x:f>
        <x:v>None</x:v>
      </x:c>
      <x:c r="P182" s="76" t="n">
        <x:f>IF(F182="Long",(H182-G182)/G182*K182*L182,(G182-H182)/G182*K182*L182)-M182</x:f>
        <x:v>-3.063106013200536</x:v>
      </x:c>
      <x:c r="Q182" s="78" t="n">
        <x:f>P182/K182</x:f>
        <x:v>-0.006126212026401072</x:v>
      </x:c>
      <x:c r="R182" s="78" t="n">
        <x:f>IF(F182="Long",(G182-I182)/G182,(I182-G182)/G182)</x:f>
        <x:v>0.017928694001818173</x:v>
      </x:c>
      <x:c r="S182" s="78" t="n">
        <x:f>IF(F182="Long",(J182-G182)/G182,(G182-J182)/G182)</x:f>
        <x:v>0.01556406876300263</x:v>
      </x:c>
      <x:c r="T182" s="80" t="n">
        <x:f>IFERROR(P182/(K182*L182*R182),0)</x:f>
        <x:v>-0.17084936654560018</x:v>
      </x:c>
      <x:c r="U182" t="str">
        <x:f>IF(P182&gt;0,"Win",IF(P182&lt;0,"Loss","Breakeven"))</x:f>
        <x:v>Loss</x:v>
      </x:c>
      <x:c r="V182" s="76" t="n">
        <x:f>SUM($P$5:P182)</x:f>
        <x:v>-1111.4078122043356</x:v>
      </x:c>
    </x:row>
    <x:row r="183">
      <x:c r="A183" t="n">
        <x:f>Trading_Raw!A183</x:f>
        <x:v>179</x:v>
      </x:c>
      <x:c r="B183" s="72" t="n">
        <x:f>Trading_Raw!B183</x:f>
        <x:v>46112.291666666664</x:v>
      </x:c>
      <x:c r="C183" t="str">
        <x:f>Trading_Raw!C183</x:f>
        <x:v>SOLUSDT</x:v>
      </x:c>
      <x:c r="D183" t="str">
        <x:f>Trading_Raw!D183</x:f>
        <x:v>OKX</x:v>
      </x:c>
      <x:c r="E183" t="str">
        <x:f>Trading_Raw!E183</x:f>
        <x:v>1h</x:v>
      </x:c>
      <x:c r="F183" t="str">
        <x:f>Trading_Raw!F183</x:f>
        <x:v>Long</x:v>
      </x:c>
      <x:c r="G183" t="n">
        <x:f>Trading_Raw!G183</x:f>
        <x:v>139.677851</x:v>
      </x:c>
      <x:c r="H183" t="n">
        <x:f>Trading_Raw!H183</x:f>
        <x:v>138.982301</x:v>
      </x:c>
      <x:c r="I183" t="n">
        <x:f>Trading_Raw!I183</x:f>
        <x:v>138.30119</x:v>
      </x:c>
      <x:c r="J183" t="n">
        <x:f>Trading_Raw!J183</x:f>
        <x:v>146.870583</x:v>
      </x:c>
      <x:c r="K183" t="n">
        <x:f>Trading_Raw!K183</x:f>
        <x:v>300</x:v>
      </x:c>
      <x:c r="L183" t="n">
        <x:f>Trading_Raw!L183</x:f>
        <x:v>1</x:v>
      </x:c>
      <x:c r="M183" t="n">
        <x:f>Trading_Raw!M183</x:f>
        <x:v>0.24</x:v>
      </x:c>
      <x:c r="N183" t="str">
        <x:f>Trading_Raw!N183</x:f>
        <x:v>OB retest</x:v>
      </x:c>
      <x:c r="O183" t="str">
        <x:f>Trading_Raw!O183</x:f>
        <x:v>Late entry</x:v>
      </x:c>
      <x:c r="P183" s="76" t="n">
        <x:f>IF(F183="Long",(H183-G183)/G183*K183*L183,(G183-H183)/G183*K183*L183)-M183</x:f>
        <x:v>-1.7339018499074643</x:v>
      </x:c>
      <x:c r="Q183" s="78" t="n">
        <x:f>P183/K183</x:f>
        <x:v>-0.005779672833024881</x:v>
      </x:c>
      <x:c r="R183" s="78" t="n">
        <x:f>IF(F183="Long",(G183-I183)/G183,(I183-G183)/G183)</x:f>
        <x:v>0.009855972082502993</x:v>
      </x:c>
      <x:c r="S183" s="78" t="n">
        <x:f>IF(F183="Long",(J183-G183)/G183,(G183-J183)/G183)</x:f>
        <x:v>0.051495150795239586</x:v>
      </x:c>
      <x:c r="T183" s="80" t="n">
        <x:f>IFERROR(P183/(K183*L183*R183),0)</x:f>
        <x:v>-0.5864132715316187</x:v>
      </x:c>
      <x:c r="U183" t="str">
        <x:f>IF(P183&gt;0,"Win",IF(P183&lt;0,"Loss","Breakeven"))</x:f>
        <x:v>Loss</x:v>
      </x:c>
      <x:c r="V183" s="76" t="n">
        <x:f>SUM($P$5:P183)</x:f>
        <x:v>-1113.141714054243</x:v>
      </x:c>
    </x:row>
    <x:row r="184">
      <x:c r="A184" t="n">
        <x:f>Trading_Raw!A184</x:f>
        <x:v>180</x:v>
      </x:c>
      <x:c r="B184" s="72" t="n">
        <x:f>Trading_Raw!B184</x:f>
        <x:v>46168.791666666664</x:v>
      </x:c>
      <x:c r="C184" t="str">
        <x:f>Trading_Raw!C184</x:f>
        <x:v>BNBUSDT</x:v>
      </x:c>
      <x:c r="D184" t="str">
        <x:f>Trading_Raw!D184</x:f>
        <x:v>Bybit</x:v>
      </x:c>
      <x:c r="E184" t="str">
        <x:f>Trading_Raw!E184</x:f>
        <x:v>15m</x:v>
      </x:c>
      <x:c r="F184" t="str">
        <x:f>Trading_Raw!F184</x:f>
        <x:v>Long</x:v>
      </x:c>
      <x:c r="G184" t="n">
        <x:f>Trading_Raw!G184</x:f>
        <x:v>619.347425</x:v>
      </x:c>
      <x:c r="H184" t="n">
        <x:f>Trading_Raw!H184</x:f>
        <x:v>639.307789</x:v>
      </x:c>
      <x:c r="I184" t="n">
        <x:f>Trading_Raw!I184</x:f>
        <x:v>603.910123</x:v>
      </x:c>
      <x:c r="J184" t="n">
        <x:f>Trading_Raw!J184</x:f>
        <x:v>653.156667</x:v>
      </x:c>
      <x:c r="K184" t="n">
        <x:f>Trading_Raw!K184</x:f>
        <x:v>150</x:v>
      </x:c>
      <x:c r="L184" t="n">
        <x:f>Trading_Raw!L184</x:f>
        <x:v>5</x:v>
      </x:c>
      <x:c r="M184" t="n">
        <x:f>Trading_Raw!M184</x:f>
        <x:v>0.6</x:v>
      </x:c>
      <x:c r="N184" t="str">
        <x:f>Trading_Raw!N184</x:f>
        <x:v>OB retest</x:v>
      </x:c>
      <x:c r="O184" t="str">
        <x:f>Trading_Raw!O184</x:f>
        <x:v>Ignored funding</x:v>
      </x:c>
      <x:c r="P184" s="76" t="n">
        <x:f>IF(F184="Long",(H184-G184)/G184*K184*L184,(G184-H184)/G184*K184*L184)-M184</x:f>
        <x:v>23.57104260988884</x:v>
      </x:c>
      <x:c r="Q184" s="78" t="n">
        <x:f>P184/K184</x:f>
        <x:v>0.1571402840659256</x:v>
      </x:c>
      <x:c r="R184" s="78" t="n">
        <x:f>IF(F184="Long",(G184-I184)/G184,(I184-G184)/G184)</x:f>
        <x:v>0.024925108875684828</x:v>
      </x:c>
      <x:c r="S184" s="78" t="n">
        <x:f>IF(F184="Long",(J184-G184)/G184,(G184-J184)/G184)</x:f>
        <x:v>0.05458849207292647</x:v>
      </x:c>
      <x:c r="T184" s="80" t="n">
        <x:f>IFERROR(P184/(K184*L184*R184),0)</x:f>
        <x:v>1.260899479714775</x:v>
      </x:c>
      <x:c r="U184" t="str">
        <x:f>IF(P184&gt;0,"Win",IF(P184&lt;0,"Loss","Breakeven"))</x:f>
        <x:v>Win</x:v>
      </x:c>
      <x:c r="V184" s="76" t="n">
        <x:f>SUM($P$5:P184)</x:f>
        <x:v>-1089.5706714443543</x:v>
      </x:c>
    </x:row>
  </x:sheetData>
  <x:mergeCells>
    <x:mergeCell ref="A1:T1"/>
    <x:mergeCell ref="A2:T2"/>
  </x:mergeCells>
  <x:conditionalFormatting sqref="P5:P184">
    <x:cfRule type="expression" dxfId="2" priority="1">
      <x:formula>P5&lt;0</x:formula>
    </x:cfRule>
  </x:conditionalFormatting>
  <x:conditionalFormatting sqref="U5:U184">
    <x:cfRule type="expression" dxfId="3" priority="2">
      <x:formula>U5="Win"</x:formula>
    </x:cfRule>
    <x:cfRule type="expression" dxfId="4" priority="3">
      <x:formula>U5="Loss"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382f4c3452e4c0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4" max="4" width="14" hidden="0" customWidth="1"/>
    <x:col min="5" max="5" width="14" hidden="0" customWidth="1"/>
    <x:col min="7" max="7" width="14" hidden="0" customWidth="1"/>
    <x:col min="8" max="8" width="14" hidden="0" customWidth="1"/>
    <x:col min="10" max="10" width="14" hidden="0" customWidth="1"/>
    <x:col min="11" max="11" width="14" hidden="0" customWidth="1"/>
    <x:col min="3" max="3" width="14" hidden="0" customWidth="1"/>
    <x:col min="6" max="6" width="14" hidden="0" customWidth="1"/>
    <x:col min="9" max="9" width="14" hidden="0" customWidth="1"/>
    <x:col min="12" max="12" width="14" hidden="0" customWidth="1"/>
    <x:col min="13" max="13" width="14" hidden="0" customWidth="1"/>
  </x:cols>
  <x:sheetData>
    <x:row r="1" ht="28" customHeight="1">
      <x:c r="A1" s="5" t="str">
        <x:v>Case 3 — Crypto Trading Journal Dashboard</x:v>
      </x:c>
    </x:row>
    <x:row r="2" ht="34" customHeight="1">
      <x:c r="A2" s="12" t="str">
        <x:v>PnL, win rate, profit factor, long/short performance, setups, mistakes and equity curve.</x:v>
      </x:c>
    </x:row>
    <x:row r="4">
      <x:c r="A4" s="46" t="str">
        <x:v>Total PnL</x:v>
      </x:c>
      <x:c r="B4" s="24"/>
      <x:c r="C4" s="46" t="str">
        <x:v>Win rate</x:v>
      </x:c>
      <x:c r="D4" s="24"/>
      <x:c r="E4" s="46" t="str">
        <x:v>Profit factor</x:v>
      </x:c>
      <x:c r="F4" s="24"/>
      <x:c r="G4" s="46" t="str">
        <x:v>Avg R</x:v>
      </x:c>
      <x:c r="H4" s="24"/>
      <x:c r="I4" s="46" t="str">
        <x:v>Trades</x:v>
      </x:c>
      <x:c r="J4" s="24"/>
      <x:c r="K4" s="46" t="str">
        <x:v>Max trade loss</x:v>
      </x:c>
      <x:c r="L4" s="24"/>
    </x:row>
    <x:row r="5">
      <x:c r="A5" s="102" t="n">
        <x:f>SUM(Trading_Clean!P5:P184)</x:f>
        <x:v>-1089.5706714443543</x:v>
      </x:c>
      <x:c r="B5" s="24"/>
      <x:c r="C5" s="99" t="n">
        <x:f>COUNTIF(Trading_Clean!U5:U184,"Win")/COUNTA(Trading_Clean!U5:U184)</x:f>
        <x:v>0.40555555555555556</x:v>
      </x:c>
      <x:c r="D5" s="24"/>
      <x:c r="E5" s="103" t="n">
        <x:f>IFERROR(SUMIF(Trading_Clean!P5:P184,"&gt;0",Trading_Clean!P5:P184)/ABS(SUMIF(Trading_Clean!P5:P184,"&lt;0",Trading_Clean!P5:P184)),0)</x:f>
        <x:v>0.6865510110655171</x:v>
      </x:c>
      <x:c r="F5" s="24"/>
      <x:c r="G5" s="103" t="n">
        <x:f>AVERAGE(Trading_Clean!T5:T184)</x:f>
        <x:v>-0.3118342387045424</x:v>
      </x:c>
      <x:c r="H5" s="24"/>
      <x:c r="I5" s="94" t="n">
        <x:f>COUNTA(Trading_Clean!A5:A184)</x:f>
        <x:v>180</x:v>
      </x:c>
      <x:c r="J5" s="24"/>
      <x:c r="K5" s="102" t="n">
        <x:f>MIN(Trading_Clean!P5:P184)</x:f>
        <x:v>-433.85260348250904</x:v>
      </x:c>
      <x:c r="L5" s="24"/>
    </x:row>
    <x:row r="8">
      <x:c r="A8" s="32" t="str">
        <x:v>Trade #</x:v>
      </x:c>
      <x:c r="B8" s="32" t="str">
        <x:v>Equity</x:v>
      </x:c>
      <x:c r="D8" s="32" t="str">
        <x:v>Symbol</x:v>
      </x:c>
      <x:c r="E8" s="32" t="str">
        <x:v>PnL</x:v>
      </x:c>
      <x:c r="G8" s="32" t="str">
        <x:v>Direction</x:v>
      </x:c>
      <x:c r="H8" s="32" t="str">
        <x:v>PnL</x:v>
      </x:c>
      <x:c r="J8" s="32" t="str">
        <x:v>Mistake</x:v>
      </x:c>
      <x:c r="K8" s="32" t="str">
        <x:v>Count</x:v>
      </x:c>
    </x:row>
    <x:row r="9">
      <x:c r="A9" t="n">
        <x:f>Trading_Clean!A5</x:f>
        <x:v>1</x:v>
      </x:c>
      <x:c r="B9" s="86" t="n">
        <x:f>Trading_Clean!V5</x:f>
        <x:v>-28.52357083417541</x:v>
      </x:c>
      <x:c r="D9" t="str">
        <x:v>BTCUSDT</x:v>
      </x:c>
      <x:c r="E9" s="86" t="n">
        <x:f>SUMIF(Trading_Clean!$C$5:$C$184,D9,Trading_Clean!$P$5:$P$184)</x:f>
        <x:v>-125.5259399957251</x:v>
      </x:c>
      <x:c r="G9" t="str">
        <x:v>Long</x:v>
      </x:c>
      <x:c r="H9" s="86" t="n">
        <x:f>SUMIF(Trading_Clean!$F$5:$F$184,G9,Trading_Clean!$P$5:$P$184)</x:f>
        <x:v>-352.4926639985731</x:v>
      </x:c>
      <x:c r="J9" t="str">
        <x:v>None</x:v>
      </x:c>
      <x:c r="K9" t="n">
        <x:f>COUNTIF(Trading_Clean!$O$5:$O$184,J9)</x:f>
        <x:v>31</x:v>
      </x:c>
    </x:row>
    <x:row r="10">
      <x:c r="A10" t="n">
        <x:f>Trading_Clean!A6</x:f>
        <x:v>2</x:v>
      </x:c>
      <x:c r="B10" s="86" t="n">
        <x:f>Trading_Clean!V6</x:f>
        <x:v>-15.373722815940226</x:v>
      </x:c>
      <x:c r="D10" t="str">
        <x:v>ETHUSDT</x:v>
      </x:c>
      <x:c r="E10" s="86" t="n">
        <x:f>SUMIF(Trading_Clean!$C$5:$C$184,D10,Trading_Clean!$P$5:$P$184)</x:f>
        <x:v>182.86242622888162</x:v>
      </x:c>
      <x:c r="G10" t="str">
        <x:v>Short</x:v>
      </x:c>
      <x:c r="H10" s="86" t="n">
        <x:f>SUMIF(Trading_Clean!$F$5:$F$184,G10,Trading_Clean!$P$5:$P$184)</x:f>
        <x:v>-737.0780074457814</x:v>
      </x:c>
      <x:c r="J10" t="str">
        <x:v>Late entry</x:v>
      </x:c>
      <x:c r="K10" t="n">
        <x:f>COUNTIF(Trading_Clean!$O$5:$O$184,J10)</x:f>
        <x:v>24</x:v>
      </x:c>
    </x:row>
    <x:row r="11">
      <x:c r="A11" t="n">
        <x:f>Trading_Clean!A7</x:f>
        <x:v>3</x:v>
      </x:c>
      <x:c r="B11" s="86" t="n">
        <x:f>Trading_Clean!V7</x:f>
        <x:v>-4.202862769687043</x:v>
      </x:c>
      <x:c r="D11" t="str">
        <x:v>SOLUSDT</x:v>
      </x:c>
      <x:c r="E11" s="86" t="n">
        <x:f>SUMIF(Trading_Clean!$C$5:$C$184,D11,Trading_Clean!$P$5:$P$184)</x:f>
        <x:v>162.5003171357322</x:v>
      </x:c>
      <x:c r="J11" t="str">
        <x:v>Moved SL</x:v>
      </x:c>
      <x:c r="K11" t="n">
        <x:f>COUNTIF(Trading_Clean!$O$5:$O$184,J11)</x:f>
        <x:v>26</x:v>
      </x:c>
    </x:row>
    <x:row r="12">
      <x:c r="A12" t="n">
        <x:f>Trading_Clean!A8</x:f>
        <x:v>4</x:v>
      </x:c>
      <x:c r="B12" s="86" t="n">
        <x:f>Trading_Clean!V8</x:f>
        <x:v>5.413189686642037</x:v>
      </x:c>
      <x:c r="D12" t="str">
        <x:v>ADAUSDT</x:v>
      </x:c>
      <x:c r="E12" s="86" t="n">
        <x:f>SUMIF(Trading_Clean!$C$5:$C$184,D12,Trading_Clean!$P$5:$P$184)</x:f>
        <x:v>-630.9484396201298</x:v>
      </x:c>
      <x:c r="J12" t="str">
        <x:v>No HTF confirmation</x:v>
      </x:c>
      <x:c r="K12" t="n">
        <x:f>COUNTIF(Trading_Clean!$O$5:$O$184,J12)</x:f>
        <x:v>33</x:v>
      </x:c>
    </x:row>
    <x:row r="13">
      <x:c r="A13" t="n">
        <x:f>Trading_Clean!A9</x:f>
        <x:v>5</x:v>
      </x:c>
      <x:c r="B13" s="86" t="n">
        <x:f>Trading_Clean!V9</x:f>
        <x:v>22.284320606590562</x:v>
      </x:c>
      <x:c r="D13" t="str">
        <x:v>WLFIUSDT</x:v>
      </x:c>
      <x:c r="E13" s="86" t="n">
        <x:f>SUMIF(Trading_Clean!$C$5:$C$184,D13,Trading_Clean!$P$5:$P$184)</x:f>
        <x:v>-472.280407589197</x:v>
      </x:c>
      <x:c r="J13" t="str">
        <x:v>Oversized</x:v>
      </x:c>
      <x:c r="K13" t="n">
        <x:f>COUNTIF(Trading_Clean!$O$5:$O$184,J13)</x:f>
        <x:v>39</x:v>
      </x:c>
    </x:row>
    <x:row r="14">
      <x:c r="A14" t="n">
        <x:f>Trading_Clean!A10</x:f>
        <x:v>6</x:v>
      </x:c>
      <x:c r="B14" s="86" t="n">
        <x:f>Trading_Clean!V10</x:f>
        <x:v>35.50900475561324</x:v>
      </x:c>
      <x:c r="D14" t="str">
        <x:v>FARTCOINUSDT</x:v>
      </x:c>
      <x:c r="E14" s="86" t="n">
        <x:f>SUMIF(Trading_Clean!$C$5:$C$184,D14,Trading_Clean!$P$5:$P$184)</x:f>
        <x:v>47.58276627690272</x:v>
      </x:c>
      <x:c r="J14" t="str">
        <x:v>Ignored funding</x:v>
      </x:c>
      <x:c r="K14" t="n">
        <x:f>COUNTIF(Trading_Clean!$O$5:$O$184,J14)</x:f>
        <x:v>27</x:v>
      </x:c>
    </x:row>
    <x:row r="15">
      <x:c r="A15" t="n">
        <x:f>Trading_Clean!A11</x:f>
        <x:v>7</x:v>
      </x:c>
      <x:c r="B15" s="86" t="n">
        <x:f>Trading_Clean!V11</x:f>
        <x:v>10.38915985616499</x:v>
      </x:c>
      <x:c r="D15" t="str">
        <x:v>BNBUSDT</x:v>
      </x:c>
      <x:c r="E15" s="86" t="n">
        <x:f>SUMIF(Trading_Clean!$C$5:$C$184,D15,Trading_Clean!$P$5:$P$184)</x:f>
        <x:v>78.23448493460693</x:v>
      </x:c>
    </x:row>
    <x:row r="16">
      <x:c r="A16" t="n">
        <x:f>Trading_Clean!A12</x:f>
        <x:v>8</x:v>
      </x:c>
      <x:c r="B16" s="86" t="n">
        <x:f>Trading_Clean!V12</x:f>
        <x:v>-18.678517743966886</x:v>
      </x:c>
      <x:c r="D16" t="str">
        <x:v>XRPUSDT</x:v>
      </x:c>
      <x:c r="E16" s="86" t="n">
        <x:f>SUMIF(Trading_Clean!$C$5:$C$184,D16,Trading_Clean!$P$5:$P$184)</x:f>
        <x:v>-331.9958788154264</x:v>
      </x:c>
    </x:row>
    <x:row r="17">
      <x:c r="A17" t="n">
        <x:f>Trading_Clean!A13</x:f>
        <x:v>9</x:v>
      </x:c>
      <x:c r="B17" s="86" t="n">
        <x:f>Trading_Clean!V13</x:f>
        <x:v>-16.84433647699893</x:v>
      </x:c>
      <x:c r="E17" s="86"/>
    </x:row>
    <x:row r="18">
      <x:c r="A18" t="n">
        <x:f>Trading_Clean!A14</x:f>
        <x:v>10</x:v>
      </x:c>
      <x:c r="B18" s="86" t="n">
        <x:f>Trading_Clean!V14</x:f>
        <x:v>21.450315296067583</x:v>
      </x:c>
      <x:c r="E18" s="86"/>
    </x:row>
    <x:row r="19">
      <x:c r="A19" t="n">
        <x:f>Trading_Clean!A15</x:f>
        <x:v>11</x:v>
      </x:c>
      <x:c r="B19" s="86" t="n">
        <x:f>Trading_Clean!V15</x:f>
        <x:v>51.92452567493258</x:v>
      </x:c>
      <x:c r="E19" s="86"/>
    </x:row>
    <x:row r="20">
      <x:c r="A20" t="n">
        <x:f>Trading_Clean!A16</x:f>
        <x:v>12</x:v>
      </x:c>
      <x:c r="B20" s="86" t="n">
        <x:f>Trading_Clean!V16</x:f>
        <x:v>120.58501642832174</x:v>
      </x:c>
      <x:c r="E20" s="86"/>
    </x:row>
    <x:row r="21">
      <x:c r="A21" t="n">
        <x:f>Trading_Clean!A17</x:f>
        <x:v>13</x:v>
      </x:c>
      <x:c r="B21" s="86" t="n">
        <x:f>Trading_Clean!V17</x:f>
        <x:v>151.74780867639814</x:v>
      </x:c>
      <x:c r="E21" s="86"/>
    </x:row>
    <x:row r="22">
      <x:c r="A22" t="n">
        <x:f>Trading_Clean!A18</x:f>
        <x:v>14</x:v>
      </x:c>
      <x:c r="B22" s="86" t="n">
        <x:f>Trading_Clean!V18</x:f>
        <x:v>267.0348029922327</x:v>
      </x:c>
      <x:c r="E22" s="86"/>
    </x:row>
    <x:row r="23">
      <x:c r="A23" t="n">
        <x:f>Trading_Clean!A19</x:f>
        <x:v>15</x:v>
      </x:c>
      <x:c r="B23" s="86" t="n">
        <x:f>Trading_Clean!V19</x:f>
        <x:v>216.04559004165736</x:v>
      </x:c>
      <x:c r="E23" s="86"/>
    </x:row>
    <x:row r="24">
      <x:c r="A24" t="n">
        <x:f>Trading_Clean!A20</x:f>
        <x:v>16</x:v>
      </x:c>
      <x:c r="B24" s="86" t="n">
        <x:f>Trading_Clean!V20</x:f>
        <x:v>177.4501077983677</x:v>
      </x:c>
      <x:c r="E24" s="86"/>
    </x:row>
    <x:row r="25">
      <x:c r="A25" t="n">
        <x:f>Trading_Clean!A21</x:f>
        <x:v>17</x:v>
      </x:c>
      <x:c r="B25" s="86" t="n">
        <x:f>Trading_Clean!V21</x:f>
        <x:v>169.33297449770663</x:v>
      </x:c>
      <x:c r="E25" s="86"/>
    </x:row>
    <x:row r="26">
      <x:c r="A26" t="n">
        <x:f>Trading_Clean!A22</x:f>
        <x:v>18</x:v>
      </x:c>
      <x:c r="B26" s="86" t="n">
        <x:f>Trading_Clean!V22</x:f>
        <x:v>148.91492656107172</x:v>
      </x:c>
      <x:c r="E26" s="86"/>
    </x:row>
    <x:row r="27">
      <x:c r="A27" t="n">
        <x:f>Trading_Clean!A23</x:f>
        <x:v>19</x:v>
      </x:c>
      <x:c r="B27" s="86" t="n">
        <x:f>Trading_Clean!V23</x:f>
        <x:v>198.704418340013</x:v>
      </x:c>
      <x:c r="E27" s="86"/>
    </x:row>
    <x:row r="28">
      <x:c r="A28" t="n">
        <x:f>Trading_Clean!A24</x:f>
        <x:v>20</x:v>
      </x:c>
      <x:c r="B28" s="86" t="n">
        <x:f>Trading_Clean!V24</x:f>
        <x:v>203.25541774406986</x:v>
      </x:c>
      <x:c r="E28" s="86"/>
    </x:row>
    <x:row r="29">
      <x:c r="A29" t="n">
        <x:f>Trading_Clean!A25</x:f>
        <x:v>21</x:v>
      </x:c>
      <x:c r="B29" s="86" t="n">
        <x:f>Trading_Clean!V25</x:f>
        <x:v>199.64852566700935</x:v>
      </x:c>
      <x:c r="E29" s="86"/>
    </x:row>
    <x:row r="30">
      <x:c r="A30" t="n">
        <x:f>Trading_Clean!A26</x:f>
        <x:v>22</x:v>
      </x:c>
      <x:c r="B30" s="86" t="n">
        <x:f>Trading_Clean!V26</x:f>
        <x:v>203.76334185585054</x:v>
      </x:c>
      <x:c r="E30" s="86"/>
    </x:row>
    <x:row r="31">
      <x:c r="A31" t="n">
        <x:f>Trading_Clean!A27</x:f>
        <x:v>23</x:v>
      </x:c>
      <x:c r="B31" s="86" t="n">
        <x:f>Trading_Clean!V27</x:f>
        <x:v>204.18153470617762</x:v>
      </x:c>
    </x:row>
    <x:row r="32">
      <x:c r="A32" t="n">
        <x:f>Trading_Clean!A28</x:f>
        <x:v>24</x:v>
      </x:c>
      <x:c r="B32" s="86" t="n">
        <x:f>Trading_Clean!V28</x:f>
        <x:v>199.6874442842666</x:v>
      </x:c>
    </x:row>
    <x:row r="33">
      <x:c r="A33" t="n">
        <x:f>Trading_Clean!A29</x:f>
        <x:v>25</x:v>
      </x:c>
      <x:c r="B33" s="86" t="n">
        <x:f>Trading_Clean!V29</x:f>
        <x:v>210.11043273027084</x:v>
      </x:c>
    </x:row>
    <x:row r="34">
      <x:c r="A34" t="n">
        <x:f>Trading_Clean!A30</x:f>
        <x:v>26</x:v>
      </x:c>
      <x:c r="B34" s="86" t="n">
        <x:f>Trading_Clean!V30</x:f>
        <x:v>182.1442250331156</x:v>
      </x:c>
    </x:row>
    <x:row r="35">
      <x:c r="A35" t="n">
        <x:f>Trading_Clean!A31</x:f>
        <x:v>27</x:v>
      </x:c>
      <x:c r="B35" s="86" t="n">
        <x:f>Trading_Clean!V31</x:f>
        <x:v>171.62550342885424</x:v>
      </x:c>
    </x:row>
    <x:row r="36">
      <x:c r="A36" t="n">
        <x:f>Trading_Clean!A32</x:f>
        <x:v>28</x:v>
      </x:c>
      <x:c r="B36" s="86" t="n">
        <x:f>Trading_Clean!V32</x:f>
        <x:v>169.27911079256327</x:v>
      </x:c>
    </x:row>
    <x:row r="37">
      <x:c r="A37" t="n">
        <x:f>Trading_Clean!A33</x:f>
        <x:v>29</x:v>
      </x:c>
      <x:c r="B37" s="86" t="n">
        <x:f>Trading_Clean!V33</x:f>
        <x:v>158.84718883865744</x:v>
      </x:c>
    </x:row>
    <x:row r="38">
      <x:c r="A38" t="n">
        <x:f>Trading_Clean!A34</x:f>
        <x:v>30</x:v>
      </x:c>
      <x:c r="B38" s="86" t="n">
        <x:f>Trading_Clean!V34</x:f>
        <x:v>146.20271252133122</x:v>
      </x:c>
    </x:row>
    <x:row r="39">
      <x:c r="A39" t="n">
        <x:f>Trading_Clean!A35</x:f>
        <x:v>31</x:v>
      </x:c>
      <x:c r="B39" s="86" t="n">
        <x:f>Trading_Clean!V35</x:f>
        <x:v>141.54054304953755</x:v>
      </x:c>
    </x:row>
    <x:row r="40">
      <x:c r="A40" t="n">
        <x:f>Trading_Clean!A36</x:f>
        <x:v>32</x:v>
      </x:c>
      <x:c r="B40" s="86" t="n">
        <x:f>Trading_Clean!V36</x:f>
        <x:v>144.85755647605635</x:v>
      </x:c>
    </x:row>
    <x:row r="41">
      <x:c r="A41" t="n">
        <x:f>Trading_Clean!A37</x:f>
        <x:v>33</x:v>
      </x:c>
      <x:c r="B41" s="86" t="n">
        <x:f>Trading_Clean!V37</x:f>
        <x:v>417.1174025744707</x:v>
      </x:c>
    </x:row>
    <x:row r="42">
      <x:c r="A42" t="n">
        <x:f>Trading_Clean!A38</x:f>
        <x:v>34</x:v>
      </x:c>
      <x:c r="B42" s="86" t="n">
        <x:f>Trading_Clean!V38</x:f>
        <x:v>400.85420665966166</x:v>
      </x:c>
    </x:row>
    <x:row r="43">
      <x:c r="A43" t="n">
        <x:f>Trading_Clean!A39</x:f>
        <x:v>35</x:v>
      </x:c>
      <x:c r="B43" s="86" t="n">
        <x:f>Trading_Clean!V39</x:f>
        <x:v>443.86036621351604</x:v>
      </x:c>
    </x:row>
    <x:row r="44">
      <x:c r="A44" t="n">
        <x:f>Trading_Clean!A40</x:f>
        <x:v>36</x:v>
      </x:c>
      <x:c r="B44" s="86" t="n">
        <x:f>Trading_Clean!V40</x:f>
        <x:v>390.070641004436</x:v>
      </x:c>
    </x:row>
    <x:row r="45">
      <x:c r="A45" t="n">
        <x:f>Trading_Clean!A41</x:f>
        <x:v>37</x:v>
      </x:c>
      <x:c r="B45" s="86" t="n">
        <x:f>Trading_Clean!V41</x:f>
        <x:v>400.60754186736426</x:v>
      </x:c>
    </x:row>
    <x:row r="46">
      <x:c r="A46" t="n">
        <x:f>Trading_Clean!A42</x:f>
        <x:v>38</x:v>
      </x:c>
      <x:c r="B46" s="86" t="n">
        <x:f>Trading_Clean!V42</x:f>
        <x:v>389.4304148872188</x:v>
      </x:c>
    </x:row>
    <x:row r="47">
      <x:c r="A47" t="n">
        <x:f>Trading_Clean!A43</x:f>
        <x:v>39</x:v>
      </x:c>
      <x:c r="B47" s="86" t="n">
        <x:f>Trading_Clean!V43</x:f>
        <x:v>387.7754517040905</x:v>
      </x:c>
    </x:row>
    <x:row r="48">
      <x:c r="A48" t="n">
        <x:f>Trading_Clean!A44</x:f>
        <x:v>40</x:v>
      </x:c>
      <x:c r="B48" s="86" t="n">
        <x:f>Trading_Clean!V44</x:f>
        <x:v>520.2545713122298</x:v>
      </x:c>
    </x:row>
    <x:row r="49">
      <x:c r="A49" t="n">
        <x:f>Trading_Clean!A45</x:f>
        <x:v>41</x:v>
      </x:c>
      <x:c r="B49" s="86" t="n">
        <x:f>Trading_Clean!V45</x:f>
        <x:v>527.0379565666431</x:v>
      </x:c>
    </x:row>
    <x:row r="50">
      <x:c r="A50" t="n">
        <x:f>Trading_Clean!A46</x:f>
        <x:v>42</x:v>
      </x:c>
      <x:c r="B50" s="86" t="n">
        <x:f>Trading_Clean!V46</x:f>
        <x:v>508.60158275066505</x:v>
      </x:c>
    </x:row>
    <x:row r="51">
      <x:c r="A51" t="n">
        <x:f>Trading_Clean!A47</x:f>
        <x:v>43</x:v>
      </x:c>
      <x:c r="B51" s="86" t="n">
        <x:f>Trading_Clean!V47</x:f>
        <x:v>483.1705099785882</x:v>
      </x:c>
    </x:row>
    <x:row r="52">
      <x:c r="A52" t="n">
        <x:f>Trading_Clean!A48</x:f>
        <x:v>44</x:v>
      </x:c>
      <x:c r="B52" s="86" t="n">
        <x:f>Trading_Clean!V48</x:f>
        <x:v>513.6373268298797</x:v>
      </x:c>
    </x:row>
    <x:row r="53">
      <x:c r="A53" t="n">
        <x:f>Trading_Clean!A49</x:f>
        <x:v>45</x:v>
      </x:c>
      <x:c r="B53" s="86" t="n">
        <x:f>Trading_Clean!V49</x:f>
        <x:v>486.00833783111756</x:v>
      </x:c>
    </x:row>
    <x:row r="54">
      <x:c r="A54" t="n">
        <x:f>Trading_Clean!A50</x:f>
        <x:v>46</x:v>
      </x:c>
      <x:c r="B54" s="86" t="n">
        <x:f>Trading_Clean!V50</x:f>
        <x:v>488.173071569457</x:v>
      </x:c>
    </x:row>
    <x:row r="55">
      <x:c r="A55" t="n">
        <x:f>Trading_Clean!A51</x:f>
        <x:v>47</x:v>
      </x:c>
      <x:c r="B55" s="86" t="n">
        <x:f>Trading_Clean!V51</x:f>
        <x:v>461.0722299874063</x:v>
      </x:c>
    </x:row>
    <x:row r="56">
      <x:c r="A56" t="n">
        <x:f>Trading_Clean!A52</x:f>
        <x:v>48</x:v>
      </x:c>
      <x:c r="B56" s="86" t="n">
        <x:f>Trading_Clean!V52</x:f>
        <x:v>479.4345879569353</x:v>
      </x:c>
    </x:row>
    <x:row r="57">
      <x:c r="A57" t="n">
        <x:f>Trading_Clean!A53</x:f>
        <x:v>49</x:v>
      </x:c>
      <x:c r="B57" s="86" t="n">
        <x:f>Trading_Clean!V53</x:f>
        <x:v>326.6463175573472</x:v>
      </x:c>
    </x:row>
    <x:row r="58">
      <x:c r="A58" t="n">
        <x:f>Trading_Clean!A54</x:f>
        <x:v>50</x:v>
      </x:c>
      <x:c r="B58" s="86" t="n">
        <x:f>Trading_Clean!V54</x:f>
        <x:v>326.1517719161847</x:v>
      </x:c>
    </x:row>
    <x:row r="59">
      <x:c r="A59" t="n">
        <x:f>Trading_Clean!A55</x:f>
        <x:v>51</x:v>
      </x:c>
      <x:c r="B59" s="86" t="n">
        <x:f>Trading_Clean!V55</x:f>
        <x:v>334.7937154793839</x:v>
      </x:c>
    </x:row>
    <x:row r="60">
      <x:c r="A60" t="n">
        <x:f>Trading_Clean!A56</x:f>
        <x:v>52</x:v>
      </x:c>
      <x:c r="B60" s="86" t="n">
        <x:f>Trading_Clean!V56</x:f>
        <x:v>280.8814538831317</x:v>
      </x:c>
    </x:row>
    <x:row r="61">
      <x:c r="A61" t="n">
        <x:f>Trading_Clean!A57</x:f>
        <x:v>53</x:v>
      </x:c>
      <x:c r="B61" s="86" t="n">
        <x:f>Trading_Clean!V57</x:f>
        <x:v>259.71785421538846</x:v>
      </x:c>
    </x:row>
    <x:row r="62">
      <x:c r="A62" t="n">
        <x:f>Trading_Clean!A58</x:f>
        <x:v>54</x:v>
      </x:c>
      <x:c r="B62" s="86" t="n">
        <x:f>Trading_Clean!V58</x:f>
        <x:v>254.6021941656126</x:v>
      </x:c>
    </x:row>
    <x:row r="63">
      <x:c r="A63" t="n">
        <x:f>Trading_Clean!A59</x:f>
        <x:v>55</x:v>
      </x:c>
      <x:c r="B63" s="86" t="n">
        <x:f>Trading_Clean!V59</x:f>
        <x:v>362.3367641926726</x:v>
      </x:c>
    </x:row>
    <x:row r="64">
      <x:c r="A64" t="n">
        <x:f>Trading_Clean!A60</x:f>
        <x:v>56</x:v>
      </x:c>
      <x:c r="B64" s="86" t="n">
        <x:f>Trading_Clean!V60</x:f>
        <x:v>372.03906370522105</x:v>
      </x:c>
    </x:row>
    <x:row r="65">
      <x:c r="A65" t="n">
        <x:f>Trading_Clean!A61</x:f>
        <x:v>57</x:v>
      </x:c>
      <x:c r="B65" s="86" t="n">
        <x:f>Trading_Clean!V61</x:f>
        <x:v>368.6964051881618</x:v>
      </x:c>
    </x:row>
    <x:row r="66">
      <x:c r="A66" t="n">
        <x:f>Trading_Clean!A62</x:f>
        <x:v>58</x:v>
      </x:c>
      <x:c r="B66" s="86" t="n">
        <x:f>Trading_Clean!V62</x:f>
        <x:v>455.379950883872</x:v>
      </x:c>
    </x:row>
    <x:row r="67">
      <x:c r="A67" t="n">
        <x:f>Trading_Clean!A63</x:f>
        <x:v>59</x:v>
      </x:c>
      <x:c r="B67" s="86" t="n">
        <x:f>Trading_Clean!V63</x:f>
        <x:v>449.72579667192275</x:v>
      </x:c>
    </x:row>
    <x:row r="68">
      <x:c r="A68" t="n">
        <x:f>Trading_Clean!A64</x:f>
        <x:v>60</x:v>
      </x:c>
      <x:c r="B68" s="86" t="n">
        <x:f>Trading_Clean!V64</x:f>
        <x:v>453.8577689209948</x:v>
      </x:c>
    </x:row>
    <x:row r="69">
      <x:c r="A69" t="n">
        <x:f>Trading_Clean!A65</x:f>
        <x:v>61</x:v>
      </x:c>
      <x:c r="B69" s="86" t="n">
        <x:f>Trading_Clean!V65</x:f>
        <x:v>449.2009944540545</x:v>
      </x:c>
    </x:row>
    <x:row r="70">
      <x:c r="A70" t="n">
        <x:f>Trading_Clean!A66</x:f>
        <x:v>62</x:v>
      </x:c>
      <x:c r="B70" s="86" t="n">
        <x:f>Trading_Clean!V66</x:f>
        <x:v>406.96157340303</x:v>
      </x:c>
    </x:row>
    <x:row r="71">
      <x:c r="A71" t="n">
        <x:f>Trading_Clean!A67</x:f>
        <x:v>63</x:v>
      </x:c>
      <x:c r="B71" s="86" t="n">
        <x:f>Trading_Clean!V67</x:f>
        <x:v>402.8032262165045</x:v>
      </x:c>
    </x:row>
    <x:row r="72">
      <x:c r="A72" t="n">
        <x:f>Trading_Clean!A68</x:f>
        <x:v>64</x:v>
      </x:c>
      <x:c r="B72" s="86" t="n">
        <x:f>Trading_Clean!V68</x:f>
        <x:v>403.9916114958215</x:v>
      </x:c>
    </x:row>
    <x:row r="73">
      <x:c r="A73" t="n">
        <x:f>Trading_Clean!A69</x:f>
        <x:v>65</x:v>
      </x:c>
      <x:c r="B73" s="86" t="n">
        <x:f>Trading_Clean!V69</x:f>
        <x:v>347.17411233390783</x:v>
      </x:c>
    </x:row>
    <x:row r="74">
      <x:c r="A74" t="n">
        <x:f>Trading_Clean!A70</x:f>
        <x:v>66</x:v>
      </x:c>
      <x:c r="B74" s="86" t="n">
        <x:f>Trading_Clean!V70</x:f>
        <x:v>344.51963622801225</x:v>
      </x:c>
    </x:row>
    <x:row r="75">
      <x:c r="A75" t="n">
        <x:f>Trading_Clean!A71</x:f>
        <x:v>67</x:v>
      </x:c>
      <x:c r="B75" s="86" t="n">
        <x:f>Trading_Clean!V71</x:f>
        <x:v>225.00658822932442</x:v>
      </x:c>
    </x:row>
    <x:row r="76">
      <x:c r="A76" t="n">
        <x:f>Trading_Clean!A72</x:f>
        <x:v>68</x:v>
      </x:c>
      <x:c r="B76" s="86" t="n">
        <x:f>Trading_Clean!V72</x:f>
        <x:v>220.49709309469245</x:v>
      </x:c>
    </x:row>
    <x:row r="77">
      <x:c r="A77" t="n">
        <x:f>Trading_Clean!A73</x:f>
        <x:v>69</x:v>
      </x:c>
      <x:c r="B77" s="86" t="n">
        <x:f>Trading_Clean!V73</x:f>
        <x:v>217.11611915274986</x:v>
      </x:c>
    </x:row>
    <x:row r="78">
      <x:c r="A78" t="n">
        <x:f>Trading_Clean!A74</x:f>
        <x:v>70</x:v>
      </x:c>
      <x:c r="B78" s="86" t="n">
        <x:f>Trading_Clean!V74</x:f>
        <x:v>226.5890473149938</x:v>
      </x:c>
    </x:row>
    <x:row r="79">
      <x:c r="A79" t="n">
        <x:f>Trading_Clean!A75</x:f>
        <x:v>71</x:v>
      </x:c>
      <x:c r="B79" s="86" t="n">
        <x:f>Trading_Clean!V75</x:f>
        <x:v>263.6705020336812</x:v>
      </x:c>
    </x:row>
    <x:row r="80">
      <x:c r="A80" t="n">
        <x:f>Trading_Clean!A76</x:f>
        <x:v>72</x:v>
      </x:c>
      <x:c r="B80" s="86" t="n">
        <x:f>Trading_Clean!V76</x:f>
        <x:v>217.835466058017</x:v>
      </x:c>
    </x:row>
    <x:row r="81">
      <x:c r="A81" t="n">
        <x:f>Trading_Clean!A77</x:f>
        <x:v>73</x:v>
      </x:c>
      <x:c r="B81" s="86" t="n">
        <x:f>Trading_Clean!V77</x:f>
        <x:v>238.72062819700068</x:v>
      </x:c>
    </x:row>
    <x:row r="82">
      <x:c r="A82" t="n">
        <x:f>Trading_Clean!A78</x:f>
        <x:v>74</x:v>
      </x:c>
      <x:c r="B82" s="86" t="n">
        <x:f>Trading_Clean!V78</x:f>
        <x:v>290.26531231483386</x:v>
      </x:c>
    </x:row>
    <x:row r="83">
      <x:c r="A83" t="n">
        <x:f>Trading_Clean!A79</x:f>
        <x:v>75</x:v>
      </x:c>
      <x:c r="B83" s="86" t="n">
        <x:f>Trading_Clean!V79</x:f>
        <x:v>297.86809420329865</x:v>
      </x:c>
    </x:row>
    <x:row r="84">
      <x:c r="A84" t="n">
        <x:f>Trading_Clean!A80</x:f>
        <x:v>76</x:v>
      </x:c>
      <x:c r="B84" s="86" t="n">
        <x:f>Trading_Clean!V80</x:f>
        <x:v>314.5395571768746</x:v>
      </x:c>
    </x:row>
    <x:row r="85">
      <x:c r="A85" t="n">
        <x:f>Trading_Clean!A81</x:f>
        <x:v>77</x:v>
      </x:c>
      <x:c r="B85" s="86" t="n">
        <x:f>Trading_Clean!V81</x:f>
        <x:v>312.9418454140336</x:v>
      </x:c>
    </x:row>
    <x:row r="86">
      <x:c r="A86" t="n">
        <x:f>Trading_Clean!A82</x:f>
        <x:v>78</x:v>
      </x:c>
      <x:c r="B86" s="86" t="n">
        <x:f>Trading_Clean!V82</x:f>
        <x:v>312.54243674050906</x:v>
      </x:c>
    </x:row>
    <x:row r="87">
      <x:c r="A87" t="n">
        <x:f>Trading_Clean!A83</x:f>
        <x:v>79</x:v>
      </x:c>
      <x:c r="B87" s="86" t="n">
        <x:f>Trading_Clean!V83</x:f>
        <x:v>286.1659704476417</x:v>
      </x:c>
    </x:row>
    <x:row r="88">
      <x:c r="A88" t="n">
        <x:f>Trading_Clean!A84</x:f>
        <x:v>80</x:v>
      </x:c>
      <x:c r="B88" s="86" t="n">
        <x:f>Trading_Clean!V84</x:f>
        <x:v>256.1440254245455</x:v>
      </x:c>
    </x:row>
    <x:row r="89">
      <x:c r="A89" t="n">
        <x:f>Trading_Clean!A85</x:f>
        <x:v>81</x:v>
      </x:c>
      <x:c r="B89" s="86" t="n">
        <x:f>Trading_Clean!V85</x:f>
        <x:v>248.52791209688257</x:v>
      </x:c>
    </x:row>
    <x:row r="90">
      <x:c r="A90" t="n">
        <x:f>Trading_Clean!A86</x:f>
        <x:v>82</x:v>
      </x:c>
      <x:c r="B90" s="86" t="n">
        <x:f>Trading_Clean!V86</x:f>
        <x:v>239.4948154617709</x:v>
      </x:c>
    </x:row>
    <x:row r="91">
      <x:c r="A91" t="n">
        <x:f>Trading_Clean!A87</x:f>
        <x:v>83</x:v>
      </x:c>
      <x:c r="B91" s="86" t="n">
        <x:f>Trading_Clean!V87</x:f>
        <x:v>265.57633023801316</x:v>
      </x:c>
    </x:row>
    <x:row r="92">
      <x:c r="A92" t="n">
        <x:f>Trading_Clean!A88</x:f>
        <x:v>84</x:v>
      </x:c>
      <x:c r="B92" s="86" t="n">
        <x:f>Trading_Clean!V88</x:f>
        <x:v>257.8676713748063</x:v>
      </x:c>
    </x:row>
    <x:row r="93">
      <x:c r="A93" t="n">
        <x:f>Trading_Clean!A89</x:f>
        <x:v>85</x:v>
      </x:c>
      <x:c r="B93" s="86" t="n">
        <x:f>Trading_Clean!V89</x:f>
        <x:v>252.3637025012127</x:v>
      </x:c>
    </x:row>
    <x:row r="94">
      <x:c r="A94" t="n">
        <x:f>Trading_Clean!A90</x:f>
        <x:v>86</x:v>
      </x:c>
      <x:c r="B94" s="86" t="n">
        <x:f>Trading_Clean!V90</x:f>
        <x:v>241.2635803521408</x:v>
      </x:c>
    </x:row>
    <x:row r="95">
      <x:c r="A95" t="n">
        <x:f>Trading_Clean!A91</x:f>
        <x:v>87</x:v>
      </x:c>
      <x:c r="B95" s="86" t="n">
        <x:f>Trading_Clean!V91</x:f>
        <x:v>107.69925291089535</x:v>
      </x:c>
    </x:row>
    <x:row r="96">
      <x:c r="A96" t="n">
        <x:f>Trading_Clean!A92</x:f>
        <x:v>88</x:v>
      </x:c>
      <x:c r="B96" s="86" t="n">
        <x:f>Trading_Clean!V92</x:f>
        <x:v>123.81260707069035</x:v>
      </x:c>
    </x:row>
    <x:row r="97">
      <x:c r="A97" t="n">
        <x:f>Trading_Clean!A93</x:f>
        <x:v>89</x:v>
      </x:c>
      <x:c r="B97" s="86" t="n">
        <x:f>Trading_Clean!V93</x:f>
        <x:v>129.10595342077545</x:v>
      </x:c>
    </x:row>
    <x:row r="98">
      <x:c r="A98" t="n">
        <x:f>Trading_Clean!A94</x:f>
        <x:v>90</x:v>
      </x:c>
      <x:c r="B98" s="86" t="n">
        <x:f>Trading_Clean!V94</x:f>
        <x:v>145.54613956715707</x:v>
      </x:c>
    </x:row>
    <x:row r="99">
      <x:c r="A99" t="n">
        <x:f>Trading_Clean!A95</x:f>
        <x:v>91</x:v>
      </x:c>
      <x:c r="B99" s="86" t="n">
        <x:f>Trading_Clean!V95</x:f>
        <x:v>147.1875865945868</x:v>
      </x:c>
    </x:row>
    <x:row r="100">
      <x:c r="A100" t="n">
        <x:f>Trading_Clean!A96</x:f>
        <x:v>92</x:v>
      </x:c>
      <x:c r="B100" s="86" t="n">
        <x:f>Trading_Clean!V96</x:f>
        <x:v>162.71012236709174</x:v>
      </x:c>
    </x:row>
    <x:row r="101">
      <x:c r="A101" t="n">
        <x:f>Trading_Clean!A97</x:f>
        <x:v>93</x:v>
      </x:c>
      <x:c r="B101" s="86" t="n">
        <x:f>Trading_Clean!V97</x:f>
        <x:v>174.0532059107027</x:v>
      </x:c>
    </x:row>
    <x:row r="102">
      <x:c r="A102" t="n">
        <x:f>Trading_Clean!A98</x:f>
        <x:v>94</x:v>
      </x:c>
      <x:c r="B102" s="86" t="n">
        <x:f>Trading_Clean!V98</x:f>
        <x:v>194.35208621422368</x:v>
      </x:c>
    </x:row>
    <x:row r="103">
      <x:c r="A103" t="n">
        <x:f>Trading_Clean!A99</x:f>
        <x:v>95</x:v>
      </x:c>
      <x:c r="B103" s="86" t="n">
        <x:f>Trading_Clean!V99</x:f>
        <x:v>181.99457468516113</x:v>
      </x:c>
    </x:row>
    <x:row r="104">
      <x:c r="A104" t="n">
        <x:f>Trading_Clean!A100</x:f>
        <x:v>96</x:v>
      </x:c>
      <x:c r="B104" s="86" t="n">
        <x:f>Trading_Clean!V100</x:f>
        <x:v>154.88030263923537</x:v>
      </x:c>
    </x:row>
    <x:row r="105">
      <x:c r="A105" t="n">
        <x:f>Trading_Clean!A101</x:f>
        <x:v>97</x:v>
      </x:c>
      <x:c r="B105" s="86" t="n">
        <x:f>Trading_Clean!V101</x:f>
        <x:v>154.73247647361268</x:v>
      </x:c>
    </x:row>
    <x:row r="106">
      <x:c r="A106" t="n">
        <x:f>Trading_Clean!A102</x:f>
        <x:v>98</x:v>
      </x:c>
      <x:c r="B106" s="86" t="n">
        <x:f>Trading_Clean!V102</x:f>
        <x:v>153.76000338406712</x:v>
      </x:c>
    </x:row>
    <x:row r="107">
      <x:c r="A107" t="n">
        <x:f>Trading_Clean!A103</x:f>
        <x:v>99</x:v>
      </x:c>
      <x:c r="B107" s="86" t="n">
        <x:f>Trading_Clean!V103</x:f>
        <x:v>118.5431989844964</x:v>
      </x:c>
    </x:row>
    <x:row r="108">
      <x:c r="A108" t="n">
        <x:f>Trading_Clean!A104</x:f>
        <x:v>100</x:v>
      </x:c>
      <x:c r="B108" s="86" t="n">
        <x:f>Trading_Clean!V104</x:f>
        <x:v>219.71481040254213</x:v>
      </x:c>
    </x:row>
    <x:row r="109">
      <x:c r="A109" t="n">
        <x:f>Trading_Clean!A105</x:f>
        <x:v>101</x:v>
      </x:c>
      <x:c r="B109" s="86" t="n">
        <x:f>Trading_Clean!V105</x:f>
        <x:v>243.71116033671382</x:v>
      </x:c>
    </x:row>
    <x:row r="110">
      <x:c r="A110" t="n">
        <x:f>Trading_Clean!A106</x:f>
        <x:v>102</x:v>
      </x:c>
      <x:c r="B110" s="86" t="n">
        <x:f>Trading_Clean!V106</x:f>
        <x:v>237.97713487301007</x:v>
      </x:c>
    </x:row>
    <x:row r="111">
      <x:c r="A111" t="n">
        <x:f>Trading_Clean!A107</x:f>
        <x:v>103</x:v>
      </x:c>
      <x:c r="B111" s="86" t="n">
        <x:f>Trading_Clean!V107</x:f>
        <x:v>221.75377339575803</x:v>
      </x:c>
    </x:row>
    <x:row r="112">
      <x:c r="A112" t="n">
        <x:f>Trading_Clean!A108</x:f>
        <x:v>104</x:v>
      </x:c>
      <x:c r="B112" s="86" t="n">
        <x:f>Trading_Clean!V108</x:f>
        <x:v>219.87036840349666</x:v>
      </x:c>
    </x:row>
    <x:row r="113">
      <x:c r="A113" t="n">
        <x:f>Trading_Clean!A109</x:f>
        <x:v>105</x:v>
      </x:c>
      <x:c r="B113" s="86" t="n">
        <x:f>Trading_Clean!V109</x:f>
        <x:v>222.3408226268681</x:v>
      </x:c>
    </x:row>
    <x:row r="114">
      <x:c r="A114" t="n">
        <x:f>Trading_Clean!A110</x:f>
        <x:v>106</x:v>
      </x:c>
      <x:c r="B114" s="86" t="n">
        <x:f>Trading_Clean!V110</x:f>
        <x:v>224.88782319093065</x:v>
      </x:c>
    </x:row>
    <x:row r="115">
      <x:c r="A115" t="n">
        <x:f>Trading_Clean!A111</x:f>
        <x:v>107</x:v>
      </x:c>
      <x:c r="B115" s="86" t="n">
        <x:f>Trading_Clean!V111</x:f>
        <x:v>-208.9647802915784</x:v>
      </x:c>
    </x:row>
    <x:row r="116">
      <x:c r="A116" t="n">
        <x:f>Trading_Clean!A112</x:f>
        <x:v>108</x:v>
      </x:c>
      <x:c r="B116" s="86" t="n">
        <x:f>Trading_Clean!V112</x:f>
        <x:v>-265.9988035631819</x:v>
      </x:c>
    </x:row>
    <x:row r="117">
      <x:c r="A117" t="n">
        <x:f>Trading_Clean!A113</x:f>
        <x:v>109</x:v>
      </x:c>
      <x:c r="B117" s="86" t="n">
        <x:f>Trading_Clean!V113</x:f>
        <x:v>-267.1366157305479</x:v>
      </x:c>
    </x:row>
    <x:row r="118">
      <x:c r="A118" t="n">
        <x:f>Trading_Clean!A114</x:f>
        <x:v>110</x:v>
      </x:c>
      <x:c r="B118" s="86" t="n">
        <x:f>Trading_Clean!V114</x:f>
        <x:v>-285.83093072358</x:v>
      </x:c>
    </x:row>
    <x:row r="119">
      <x:c r="A119" t="n">
        <x:f>Trading_Clean!A115</x:f>
        <x:v>111</x:v>
      </x:c>
      <x:c r="B119" s="86" t="n">
        <x:f>Trading_Clean!V115</x:f>
        <x:v>-306.81295453982904</x:v>
      </x:c>
    </x:row>
    <x:row r="120">
      <x:c r="A120" t="n">
        <x:f>Trading_Clean!A116</x:f>
        <x:v>112</x:v>
      </x:c>
      <x:c r="B120" s="86" t="n">
        <x:f>Trading_Clean!V116</x:f>
        <x:v>-308.44756634558655</x:v>
      </x:c>
    </x:row>
    <x:row r="121">
      <x:c r="A121" t="n">
        <x:f>Trading_Clean!A117</x:f>
        <x:v>113</x:v>
      </x:c>
      <x:c r="B121" s="86" t="n">
        <x:f>Trading_Clean!V117</x:f>
        <x:v>-310.785307265986</x:v>
      </x:c>
    </x:row>
    <x:row r="122">
      <x:c r="A122" t="n">
        <x:f>Trading_Clean!A118</x:f>
        <x:v>114</x:v>
      </x:c>
      <x:c r="B122" s="86" t="n">
        <x:f>Trading_Clean!V118</x:f>
        <x:v>-275.0895071416288</x:v>
      </x:c>
    </x:row>
    <x:row r="123">
      <x:c r="A123" t="n">
        <x:f>Trading_Clean!A119</x:f>
        <x:v>115</x:v>
      </x:c>
      <x:c r="B123" s="86" t="n">
        <x:f>Trading_Clean!V119</x:f>
        <x:v>-262.34544363671864</x:v>
      </x:c>
    </x:row>
    <x:row r="124">
      <x:c r="A124" t="n">
        <x:f>Trading_Clean!A120</x:f>
        <x:v>116</x:v>
      </x:c>
      <x:c r="B124" s="86" t="n">
        <x:f>Trading_Clean!V120</x:f>
        <x:v>-217.70454130376797</x:v>
      </x:c>
    </x:row>
    <x:row r="125">
      <x:c r="A125" t="n">
        <x:f>Trading_Clean!A121</x:f>
        <x:v>117</x:v>
      </x:c>
      <x:c r="B125" s="86" t="n">
        <x:f>Trading_Clean!V121</x:f>
        <x:v>-228.3952812472523</x:v>
      </x:c>
    </x:row>
    <x:row r="126">
      <x:c r="A126" t="n">
        <x:f>Trading_Clean!A122</x:f>
        <x:v>118</x:v>
      </x:c>
      <x:c r="B126" s="86" t="n">
        <x:f>Trading_Clean!V122</x:f>
        <x:v>-222.56709314137808</x:v>
      </x:c>
    </x:row>
    <x:row r="127">
      <x:c r="A127" t="n">
        <x:f>Trading_Clean!A123</x:f>
        <x:v>119</x:v>
      </x:c>
      <x:c r="B127" s="86" t="n">
        <x:f>Trading_Clean!V123</x:f>
        <x:v>-254.2863462281867</x:v>
      </x:c>
    </x:row>
    <x:row r="128">
      <x:c r="A128" t="n">
        <x:f>Trading_Clean!A124</x:f>
        <x:v>120</x:v>
      </x:c>
      <x:c r="B128" s="86" t="n">
        <x:f>Trading_Clean!V124</x:f>
        <x:v>-258.92398010614727</x:v>
      </x:c>
    </x:row>
    <x:row r="129">
      <x:c r="A129" t="n">
        <x:f>Trading_Clean!A125</x:f>
        <x:v>121</x:v>
      </x:c>
      <x:c r="B129" s="86" t="n">
        <x:f>Trading_Clean!V125</x:f>
        <x:v>-307.12592760957494</x:v>
      </x:c>
    </x:row>
    <x:row r="130">
      <x:c r="A130" t="n">
        <x:f>Trading_Clean!A126</x:f>
        <x:v>122</x:v>
      </x:c>
      <x:c r="B130" s="86" t="n">
        <x:f>Trading_Clean!V126</x:f>
        <x:v>-323.8972752025036</x:v>
      </x:c>
    </x:row>
    <x:row r="131">
      <x:c r="A131" t="n">
        <x:f>Trading_Clean!A127</x:f>
        <x:v>123</x:v>
      </x:c>
      <x:c r="B131" s="86" t="n">
        <x:f>Trading_Clean!V127</x:f>
        <x:v>-320.8496582781283</x:v>
      </x:c>
    </x:row>
    <x:row r="132">
      <x:c r="A132" t="n">
        <x:f>Trading_Clean!A128</x:f>
        <x:v>124</x:v>
      </x:c>
      <x:c r="B132" s="86" t="n">
        <x:f>Trading_Clean!V128</x:f>
        <x:v>-331.64333804219257</x:v>
      </x:c>
    </x:row>
    <x:row r="133">
      <x:c r="A133" t="n">
        <x:f>Trading_Clean!A129</x:f>
        <x:v>125</x:v>
      </x:c>
      <x:c r="B133" s="86" t="n">
        <x:f>Trading_Clean!V129</x:f>
        <x:v>-362.6845155186801</x:v>
      </x:c>
    </x:row>
    <x:row r="134">
      <x:c r="A134" t="n">
        <x:f>Trading_Clean!A130</x:f>
        <x:v>126</x:v>
      </x:c>
      <x:c r="B134" s="86" t="n">
        <x:f>Trading_Clean!V130</x:f>
        <x:v>-306.7208604421122</x:v>
      </x:c>
    </x:row>
    <x:row r="135">
      <x:c r="A135" t="n">
        <x:f>Trading_Clean!A131</x:f>
        <x:v>127</x:v>
      </x:c>
      <x:c r="B135" s="86" t="n">
        <x:f>Trading_Clean!V131</x:f>
        <x:v>-334.54732232066044</x:v>
      </x:c>
    </x:row>
    <x:row r="136">
      <x:c r="A136" t="n">
        <x:f>Trading_Clean!A132</x:f>
        <x:v>128</x:v>
      </x:c>
      <x:c r="B136" s="86" t="n">
        <x:f>Trading_Clean!V132</x:f>
        <x:v>-342.68488983956564</x:v>
      </x:c>
    </x:row>
    <x:row r="137">
      <x:c r="A137" t="n">
        <x:f>Trading_Clean!A133</x:f>
        <x:v>129</x:v>
      </x:c>
      <x:c r="B137" s="86" t="n">
        <x:f>Trading_Clean!V133</x:f>
        <x:v>-375.10664303936306</x:v>
      </x:c>
    </x:row>
    <x:row r="138">
      <x:c r="A138" t="n">
        <x:f>Trading_Clean!A134</x:f>
        <x:v>130</x:v>
      </x:c>
      <x:c r="B138" s="86" t="n">
        <x:f>Trading_Clean!V134</x:f>
        <x:v>-363.11858132973475</x:v>
      </x:c>
    </x:row>
    <x:row r="139">
      <x:c r="A139" t="n">
        <x:f>Trading_Clean!A135</x:f>
        <x:v>131</x:v>
      </x:c>
      <x:c r="B139" s="86" t="n">
        <x:f>Trading_Clean!V135</x:f>
        <x:v>-365.62817657499505</x:v>
      </x:c>
    </x:row>
    <x:row r="140">
      <x:c r="A140" t="n">
        <x:f>Trading_Clean!A136</x:f>
        <x:v>132</x:v>
      </x:c>
      <x:c r="B140" s="86" t="n">
        <x:f>Trading_Clean!V136</x:f>
        <x:v>-364.4096470065347</x:v>
      </x:c>
    </x:row>
    <x:row r="141">
      <x:c r="A141" t="n">
        <x:f>Trading_Clean!A137</x:f>
        <x:v>133</x:v>
      </x:c>
      <x:c r="B141" s="86" t="n">
        <x:f>Trading_Clean!V137</x:f>
        <x:v>-362.9076349586934</x:v>
      </x:c>
    </x:row>
    <x:row r="142">
      <x:c r="A142" t="n">
        <x:f>Trading_Clean!A138</x:f>
        <x:v>134</x:v>
      </x:c>
      <x:c r="B142" s="86" t="n">
        <x:f>Trading_Clean!V138</x:f>
        <x:v>-353.92723587134526</x:v>
      </x:c>
    </x:row>
    <x:row r="143">
      <x:c r="A143" t="n">
        <x:f>Trading_Clean!A139</x:f>
        <x:v>135</x:v>
      </x:c>
      <x:c r="B143" s="86" t="n">
        <x:f>Trading_Clean!V139</x:f>
        <x:v>-354.7086717198365</x:v>
      </x:c>
    </x:row>
    <x:row r="144">
      <x:c r="A144" t="n">
        <x:f>Trading_Clean!A140</x:f>
        <x:v>136</x:v>
      </x:c>
      <x:c r="B144" s="86" t="n">
        <x:f>Trading_Clean!V140</x:f>
        <x:v>-371.07419002527706</x:v>
      </x:c>
    </x:row>
    <x:row r="145">
      <x:c r="A145" t="n">
        <x:f>Trading_Clean!A141</x:f>
        <x:v>137</x:v>
      </x:c>
      <x:c r="B145" s="86" t="n">
        <x:f>Trading_Clean!V141</x:f>
        <x:v>-348.9810682307123</x:v>
      </x:c>
    </x:row>
    <x:row r="146">
      <x:c r="A146" t="n">
        <x:f>Trading_Clean!A142</x:f>
        <x:v>138</x:v>
      </x:c>
      <x:c r="B146" s="86" t="n">
        <x:f>Trading_Clean!V142</x:f>
        <x:v>-352.1548907228884</x:v>
      </x:c>
    </x:row>
    <x:row r="147">
      <x:c r="A147" t="n">
        <x:f>Trading_Clean!A143</x:f>
        <x:v>139</x:v>
      </x:c>
      <x:c r="B147" s="86" t="n">
        <x:f>Trading_Clean!V143</x:f>
        <x:v>-396.03213999712636</x:v>
      </x:c>
    </x:row>
    <x:row r="148">
      <x:c r="A148" t="n">
        <x:f>Trading_Clean!A144</x:f>
        <x:v>140</x:v>
      </x:c>
      <x:c r="B148" s="86" t="n">
        <x:f>Trading_Clean!V144</x:f>
        <x:v>-418.774983364811</x:v>
      </x:c>
    </x:row>
    <x:row r="149">
      <x:c r="A149" t="n">
        <x:f>Trading_Clean!A145</x:f>
        <x:v>141</x:v>
      </x:c>
      <x:c r="B149" s="86" t="n">
        <x:f>Trading_Clean!V145</x:f>
        <x:v>-417.36672217588466</x:v>
      </x:c>
    </x:row>
    <x:row r="150">
      <x:c r="A150" t="n">
        <x:f>Trading_Clean!A146</x:f>
        <x:v>142</x:v>
      </x:c>
      <x:c r="B150" s="86" t="n">
        <x:f>Trading_Clean!V146</x:f>
        <x:v>-417.6612316843845</x:v>
      </x:c>
    </x:row>
    <x:row r="151">
      <x:c r="A151" t="n">
        <x:f>Trading_Clean!A147</x:f>
        <x:v>143</x:v>
      </x:c>
      <x:c r="B151" s="86" t="n">
        <x:f>Trading_Clean!V147</x:f>
        <x:v>-421.1490771869481</x:v>
      </x:c>
    </x:row>
    <x:row r="152">
      <x:c r="A152" t="n">
        <x:f>Trading_Clean!A148</x:f>
        <x:v>144</x:v>
      </x:c>
      <x:c r="B152" s="86" t="n">
        <x:f>Trading_Clean!V148</x:f>
        <x:v>-434.42556378258496</x:v>
      </x:c>
    </x:row>
    <x:row r="153">
      <x:c r="A153" t="n">
        <x:f>Trading_Clean!A149</x:f>
        <x:v>145</x:v>
      </x:c>
      <x:c r="B153" s="86" t="n">
        <x:f>Trading_Clean!V149</x:f>
        <x:v>-445.0855204955158</x:v>
      </x:c>
    </x:row>
    <x:row r="154">
      <x:c r="A154" t="n">
        <x:f>Trading_Clean!A150</x:f>
        <x:v>146</x:v>
      </x:c>
      <x:c r="B154" s="86" t="n">
        <x:f>Trading_Clean!V150</x:f>
        <x:v>-449.5273484266996</x:v>
      </x:c>
    </x:row>
    <x:row r="155">
      <x:c r="A155" t="n">
        <x:f>Trading_Clean!A151</x:f>
        <x:v>147</x:v>
      </x:c>
      <x:c r="B155" s="86" t="n">
        <x:f>Trading_Clean!V151</x:f>
        <x:v>-463.57513920227365</x:v>
      </x:c>
    </x:row>
    <x:row r="156">
      <x:c r="A156" t="n">
        <x:f>Trading_Clean!A152</x:f>
        <x:v>148</x:v>
      </x:c>
      <x:c r="B156" s="86" t="n">
        <x:f>Trading_Clean!V152</x:f>
        <x:v>-454.5640399059016</x:v>
      </x:c>
    </x:row>
    <x:row r="157">
      <x:c r="A157" t="n">
        <x:f>Trading_Clean!A153</x:f>
        <x:v>149</x:v>
      </x:c>
      <x:c r="B157" s="86" t="n">
        <x:f>Trading_Clean!V153</x:f>
        <x:v>-509.8065210403455</x:v>
      </x:c>
    </x:row>
    <x:row r="158">
      <x:c r="A158" t="n">
        <x:f>Trading_Clean!A154</x:f>
        <x:v>150</x:v>
      </x:c>
      <x:c r="B158" s="86" t="n">
        <x:f>Trading_Clean!V154</x:f>
        <x:v>-524.2104229856975</x:v>
      </x:c>
    </x:row>
    <x:row r="159">
      <x:c r="A159" t="n">
        <x:f>Trading_Clean!A155</x:f>
        <x:v>151</x:v>
      </x:c>
      <x:c r="B159" s="86" t="n">
        <x:f>Trading_Clean!V155</x:f>
        <x:v>-530.1784485541259</x:v>
      </x:c>
    </x:row>
    <x:row r="160">
      <x:c r="A160" t="n">
        <x:f>Trading_Clean!A156</x:f>
        <x:v>152</x:v>
      </x:c>
      <x:c r="B160" s="86" t="n">
        <x:f>Trading_Clean!V156</x:f>
        <x:v>-522.1142210550323</x:v>
      </x:c>
    </x:row>
    <x:row r="161">
      <x:c r="A161" t="n">
        <x:f>Trading_Clean!A157</x:f>
        <x:v>153</x:v>
      </x:c>
      <x:c r="B161" s="86" t="n">
        <x:f>Trading_Clean!V157</x:f>
        <x:v>-532.9887334508213</x:v>
      </x:c>
    </x:row>
    <x:row r="162">
      <x:c r="A162" t="n">
        <x:f>Trading_Clean!A158</x:f>
        <x:v>154</x:v>
      </x:c>
      <x:c r="B162" s="86" t="n">
        <x:f>Trading_Clean!V158</x:f>
        <x:v>-543.0661128885357</x:v>
      </x:c>
    </x:row>
    <x:row r="163">
      <x:c r="A163" t="n">
        <x:f>Trading_Clean!A159</x:f>
        <x:v>155</x:v>
      </x:c>
      <x:c r="B163" s="86" t="n">
        <x:f>Trading_Clean!V159</x:f>
        <x:v>-570.0493705005896</x:v>
      </x:c>
    </x:row>
    <x:row r="164">
      <x:c r="A164" t="n">
        <x:f>Trading_Clean!A160</x:f>
        <x:v>156</x:v>
      </x:c>
      <x:c r="B164" s="86" t="n">
        <x:f>Trading_Clean!V160</x:f>
        <x:v>-659.3954729195383</x:v>
      </x:c>
    </x:row>
    <x:row r="165">
      <x:c r="A165" t="n">
        <x:f>Trading_Clean!A161</x:f>
        <x:v>157</x:v>
      </x:c>
      <x:c r="B165" s="86" t="n">
        <x:f>Trading_Clean!V161</x:f>
        <x:v>-442.22800348178635</x:v>
      </x:c>
    </x:row>
    <x:row r="166">
      <x:c r="A166" t="n">
        <x:f>Trading_Clean!A162</x:f>
        <x:v>158</x:v>
      </x:c>
      <x:c r="B166" s="86" t="n">
        <x:f>Trading_Clean!V162</x:f>
        <x:v>-436.0974491453006</x:v>
      </x:c>
    </x:row>
    <x:row r="167">
      <x:c r="A167" t="n">
        <x:f>Trading_Clean!A163</x:f>
        <x:v>159</x:v>
      </x:c>
      <x:c r="B167" s="86" t="n">
        <x:f>Trading_Clean!V163</x:f>
        <x:v>-672.9496779975293</x:v>
      </x:c>
    </x:row>
    <x:row r="168">
      <x:c r="A168" t="n">
        <x:f>Trading_Clean!A164</x:f>
        <x:v>160</x:v>
      </x:c>
      <x:c r="B168" s="86" t="n">
        <x:f>Trading_Clean!V164</x:f>
        <x:v>-658.7933655900622</x:v>
      </x:c>
    </x:row>
    <x:row r="169">
      <x:c r="A169" t="n">
        <x:f>Trading_Clean!A165</x:f>
        <x:v>161</x:v>
      </x:c>
      <x:c r="B169" s="86" t="n">
        <x:f>Trading_Clean!V165</x:f>
        <x:v>-644.757791387701</x:v>
      </x:c>
    </x:row>
    <x:row r="170">
      <x:c r="A170" t="n">
        <x:f>Trading_Clean!A166</x:f>
        <x:v>162</x:v>
      </x:c>
      <x:c r="B170" s="86" t="n">
        <x:f>Trading_Clean!V166</x:f>
        <x:v>-792.265164858813</x:v>
      </x:c>
    </x:row>
    <x:row r="171">
      <x:c r="A171" t="n">
        <x:f>Trading_Clean!A167</x:f>
        <x:v>163</x:v>
      </x:c>
      <x:c r="B171" s="86" t="n">
        <x:f>Trading_Clean!V167</x:f>
        <x:v>-813.6151331428082</x:v>
      </x:c>
    </x:row>
    <x:row r="172">
      <x:c r="A172" t="n">
        <x:f>Trading_Clean!A168</x:f>
        <x:v>164</x:v>
      </x:c>
      <x:c r="B172" s="86" t="n">
        <x:f>Trading_Clean!V168</x:f>
        <x:v>-866.6415856619748</x:v>
      </x:c>
    </x:row>
    <x:row r="173">
      <x:c r="A173" t="n">
        <x:f>Trading_Clean!A169</x:f>
        <x:v>165</x:v>
      </x:c>
      <x:c r="B173" s="86" t="n">
        <x:f>Trading_Clean!V169</x:f>
        <x:v>-868.9097731002453</x:v>
      </x:c>
    </x:row>
    <x:row r="174">
      <x:c r="A174" t="n">
        <x:f>Trading_Clean!A170</x:f>
        <x:v>166</x:v>
      </x:c>
      <x:c r="B174" s="86" t="n">
        <x:f>Trading_Clean!V170</x:f>
        <x:v>-866.5603826609099</x:v>
      </x:c>
    </x:row>
    <x:row r="175">
      <x:c r="A175" t="n">
        <x:f>Trading_Clean!A171</x:f>
        <x:v>167</x:v>
      </x:c>
      <x:c r="B175" s="86" t="n">
        <x:f>Trading_Clean!V171</x:f>
        <x:v>-870.5294822285042</x:v>
      </x:c>
    </x:row>
    <x:row r="176">
      <x:c r="A176" t="n">
        <x:f>Trading_Clean!A172</x:f>
        <x:v>168</x:v>
      </x:c>
      <x:c r="B176" s="86" t="n">
        <x:f>Trading_Clean!V172</x:f>
        <x:v>-613.875923168019</x:v>
      </x:c>
    </x:row>
    <x:row r="177">
      <x:c r="A177" t="n">
        <x:f>Trading_Clean!A173</x:f>
        <x:v>169</x:v>
      </x:c>
      <x:c r="B177" s="86" t="n">
        <x:f>Trading_Clean!V173</x:f>
        <x:v>-810.3063340329518</x:v>
      </x:c>
    </x:row>
    <x:row r="178">
      <x:c r="A178" t="n">
        <x:f>Trading_Clean!A174</x:f>
        <x:v>170</x:v>
      </x:c>
      <x:c r="B178" s="86" t="n">
        <x:f>Trading_Clean!V174</x:f>
        <x:v>-824.7992485806581</x:v>
      </x:c>
    </x:row>
    <x:row r="179">
      <x:c r="A179" t="n">
        <x:f>Trading_Clean!A175</x:f>
        <x:v>171</x:v>
      </x:c>
      <x:c r="B179" s="86" t="n">
        <x:f>Trading_Clean!V175</x:f>
        <x:v>-828.7347649697397</x:v>
      </x:c>
    </x:row>
    <x:row r="180">
      <x:c r="A180" t="n">
        <x:f>Trading_Clean!A176</x:f>
        <x:v>172</x:v>
      </x:c>
      <x:c r="B180" s="86" t="n">
        <x:f>Trading_Clean!V176</x:f>
        <x:v>-762.7590032989369</x:v>
      </x:c>
    </x:row>
    <x:row r="181">
      <x:c r="A181" t="n">
        <x:f>Trading_Clean!A177</x:f>
        <x:v>173</x:v>
      </x:c>
      <x:c r="B181" s="86" t="n">
        <x:f>Trading_Clean!V177</x:f>
        <x:v>-859.5777042825574</x:v>
      </x:c>
    </x:row>
    <x:row r="182">
      <x:c r="A182" t="n">
        <x:f>Trading_Clean!A178</x:f>
        <x:v>174</x:v>
      </x:c>
      <x:c r="B182" s="86" t="n">
        <x:f>Trading_Clean!V178</x:f>
        <x:v>-849.4553524391396</x:v>
      </x:c>
    </x:row>
    <x:row r="183">
      <x:c r="A183" t="n">
        <x:f>Trading_Clean!A179</x:f>
        <x:v>175</x:v>
      </x:c>
      <x:c r="B183" s="86" t="n">
        <x:f>Trading_Clean!V179</x:f>
        <x:v>-837.9835091548159</x:v>
      </x:c>
    </x:row>
    <x:row r="184">
      <x:c r="A184" t="n">
        <x:f>Trading_Clean!A180</x:f>
        <x:v>176</x:v>
      </x:c>
      <x:c r="B184" s="86" t="n">
        <x:f>Trading_Clean!V180</x:f>
        <x:v>-839.381616031989</x:v>
      </x:c>
    </x:row>
    <x:row r="185">
      <x:c r="A185" t="n">
        <x:f>Trading_Clean!A181</x:f>
        <x:v>177</x:v>
      </x:c>
      <x:c r="B185" s="86" t="n">
        <x:f>Trading_Clean!V181</x:f>
        <x:v>-1108.3447061911352</x:v>
      </x:c>
    </x:row>
    <x:row r="186">
      <x:c r="A186" t="n">
        <x:f>Trading_Clean!A182</x:f>
        <x:v>178</x:v>
      </x:c>
      <x:c r="B186" s="86" t="n">
        <x:f>Trading_Clean!V182</x:f>
        <x:v>-1111.4078122043356</x:v>
      </x:c>
    </x:row>
    <x:row r="187">
      <x:c r="A187" t="n">
        <x:f>Trading_Clean!A183</x:f>
        <x:v>179</x:v>
      </x:c>
      <x:c r="B187" s="86" t="n">
        <x:f>Trading_Clean!V183</x:f>
        <x:v>-1113.141714054243</x:v>
      </x:c>
    </x:row>
    <x:row r="188">
      <x:c r="A188" t="n">
        <x:f>Trading_Clean!A184</x:f>
        <x:v>180</x:v>
      </x:c>
      <x:c r="B188" s="86" t="n">
        <x:f>Trading_Clean!V184</x:f>
        <x:v>-1089.5706714443543</x:v>
      </x:c>
    </x:row>
  </x:sheetData>
  <x:mergeCells>
    <x:mergeCell ref="A1:L1"/>
    <x:mergeCell ref="A2:L2"/>
    <x:mergeCell ref="A4:B4"/>
    <x:mergeCell ref="A5:B5"/>
    <x:mergeCell ref="C4:D4"/>
    <x:mergeCell ref="C5:D5"/>
    <x:mergeCell ref="E4:F4"/>
    <x:mergeCell ref="E5:F5"/>
    <x:mergeCell ref="G4:H4"/>
    <x:mergeCell ref="G5:H5"/>
    <x:mergeCell ref="I4:J4"/>
    <x:mergeCell ref="I5:J5"/>
    <x:mergeCell ref="K4:L4"/>
    <x:mergeCell ref="K5:L5"/>
  </x:mergeCells>
  <x:pageMargins left="0.7" right="0.7" top="0.75" bottom="0.75" header="0.3" footer="0.3"/>
  <x:drawing xmlns:r="http://schemas.openxmlformats.org/officeDocument/2006/relationships" r:id="Re648db25397b471f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6" hidden="0" customWidth="1"/>
    <x:col min="5" max="5" width="12" hidden="0" customWidth="1"/>
    <x:col min="6" max="6" width="14" hidden="0" customWidth="1"/>
    <x:col min="7" max="7" width="10" hidden="0" customWidth="1"/>
    <x:col min="8" max="8" width="10" hidden="0" customWidth="1"/>
    <x:col min="9" max="9" width="10" hidden="0" customWidth="1"/>
    <x:col min="10" max="10" width="12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 ht="28" customHeight="1">
      <x:c r="A1" s="5" t="str">
        <x:v>Case 4 — Marketing Campaign Data</x:v>
      </x:c>
    </x:row>
    <x:row r="2" ht="34" customHeight="1">
      <x:c r="A2" s="12" t="str">
        <x:v>Synthetic ad/channel performance data with calculated efficiency metrics.</x:v>
      </x:c>
    </x:row>
    <x:row r="4">
      <x:c r="A4" s="32" t="str">
        <x:v>Date</x:v>
      </x:c>
      <x:c r="B4" s="32" t="str">
        <x:v>Month</x:v>
      </x:c>
      <x:c r="C4" s="32" t="str">
        <x:v>Channel</x:v>
      </x:c>
      <x:c r="D4" s="32" t="str">
        <x:v>Campaign</x:v>
      </x:c>
      <x:c r="E4" s="32" t="str">
        <x:v>Spend</x:v>
      </x:c>
      <x:c r="F4" s="32" t="str">
        <x:v>Impressions</x:v>
      </x:c>
      <x:c r="G4" s="32" t="str">
        <x:v>Clicks</x:v>
      </x:c>
      <x:c r="H4" s="32" t="str">
        <x:v>Leads</x:v>
      </x:c>
      <x:c r="I4" s="32" t="str">
        <x:v>Sales</x:v>
      </x:c>
      <x:c r="J4" s="32" t="str">
        <x:v>Revenue</x:v>
      </x:c>
      <x:c r="K4" s="32" t="str">
        <x:v>CTR</x:v>
      </x:c>
      <x:c r="L4" s="32" t="str">
        <x:v>Lead CVR</x:v>
      </x:c>
      <x:c r="M4" s="32" t="str">
        <x:v>CPA</x:v>
      </x:c>
      <x:c r="N4" s="32" t="str">
        <x:v>ROAS</x:v>
      </x:c>
    </x:row>
    <x:row r="5">
      <x:c r="A5" s="38" t="n">
        <x:v>46162</x:v>
      </x:c>
      <x:c r="B5" t="str">
        <x:v>2026-05</x:v>
      </x:c>
      <x:c r="C5" t="str">
        <x:v>Organic Search</x:v>
      </x:c>
      <x:c r="D5" t="str">
        <x:v>Lead Magnet</x:v>
      </x:c>
      <x:c r="E5" s="76" t="n">
        <x:v>109.32</x:v>
      </x:c>
      <x:c r="F5" s="88" t="n">
        <x:v>51985</x:v>
      </x:c>
      <x:c r="G5" s="88" t="n">
        <x:v>724</x:v>
      </x:c>
      <x:c r="H5" s="88" t="n">
        <x:v>63</x:v>
      </x:c>
      <x:c r="I5" s="88" t="n">
        <x:v>21</x:v>
      </x:c>
      <x:c r="J5" s="76" t="n">
        <x:v>5340.27</x:v>
      </x:c>
      <x:c r="K5" s="78" t="n">
        <x:f>G5/F5</x:f>
        <x:v>0.013927094354140617</x:v>
      </x:c>
      <x:c r="L5" s="78" t="n">
        <x:f>IFERROR(H5/G5,0)</x:f>
        <x:v>0.08701657458563536</x:v>
      </x:c>
      <x:c r="M5" s="76" t="n">
        <x:f>IFERROR(E5/H5,0)</x:f>
        <x:v>1.735238095238095</x:v>
      </x:c>
      <x:c r="N5" s="80" t="n">
        <x:f>IFERROR(J5/E5,0)</x:f>
        <x:v>48.849890230515925</x:v>
      </x:c>
    </x:row>
    <x:row r="6">
      <x:c r="A6" s="38" t="n">
        <x:v>46145</x:v>
      </x:c>
      <x:c r="B6" t="str">
        <x:v>2026-05</x:v>
      </x:c>
      <x:c r="C6" t="str">
        <x:v>Influencers</x:v>
      </x:c>
      <x:c r="D6" t="str">
        <x:v>Seasonal</x:v>
      </x:c>
      <x:c r="E6" s="76" t="n">
        <x:v>713.85</x:v>
      </x:c>
      <x:c r="F6" s="88" t="n">
        <x:v>28038</x:v>
      </x:c>
      <x:c r="G6" s="88" t="n">
        <x:v>550</x:v>
      </x:c>
      <x:c r="H6" s="88" t="n">
        <x:v>49</x:v>
      </x:c>
      <x:c r="I6" s="88" t="n">
        <x:v>16</x:v>
      </x:c>
      <x:c r="J6" s="76" t="n">
        <x:v>1693.28</x:v>
      </x:c>
      <x:c r="K6" s="78" t="n">
        <x:f>G6/F6</x:f>
        <x:v>0.019616235109494257</x:v>
      </x:c>
      <x:c r="L6" s="78" t="n">
        <x:f>IFERROR(H6/G6,0)</x:f>
        <x:v>0.0890909090909091</x:v>
      </x:c>
      <x:c r="M6" s="76" t="n">
        <x:f>IFERROR(E6/H6,0)</x:f>
        <x:v>14.568367346938777</x:v>
      </x:c>
      <x:c r="N6" s="80" t="n">
        <x:f>IFERROR(J6/E6,0)</x:f>
        <x:v>2.372038943755691</x:v>
      </x:c>
    </x:row>
    <x:row r="7">
      <x:c r="A7" s="38" t="n">
        <x:v>46146</x:v>
      </x:c>
      <x:c r="B7" t="str">
        <x:v>2026-05</x:v>
      </x:c>
      <x:c r="C7" t="str">
        <x:v>Google Ads</x:v>
      </x:c>
      <x:c r="D7" t="str">
        <x:v>Launch</x:v>
      </x:c>
      <x:c r="E7" s="76" t="n">
        <x:v>596.91</x:v>
      </x:c>
      <x:c r="F7" s="88" t="n">
        <x:v>79226</x:v>
      </x:c>
      <x:c r="G7" s="88" t="n">
        <x:v>3503</x:v>
      </x:c>
      <x:c r="H7" s="88" t="n">
        <x:v>526</x:v>
      </x:c>
      <x:c r="I7" s="88" t="n">
        <x:v>133</x:v>
      </x:c>
      <x:c r="J7" s="76" t="n">
        <x:v>17877.67</x:v>
      </x:c>
      <x:c r="K7" s="78" t="n">
        <x:f>G7/F7</x:f>
        <x:v>0.04421528286168682</x:v>
      </x:c>
      <x:c r="L7" s="78" t="n">
        <x:f>IFERROR(H7/G7,0)</x:f>
        <x:v>0.15015700827861833</x:v>
      </x:c>
      <x:c r="M7" s="76" t="n">
        <x:f>IFERROR(E7/H7,0)</x:f>
        <x:v>1.134809885931559</x:v>
      </x:c>
      <x:c r="N7" s="80" t="n">
        <x:f>IFERROR(J7/E7,0)</x:f>
        <x:v>29.950361025950308</x:v>
      </x:c>
    </x:row>
    <x:row r="8">
      <x:c r="A8" s="38" t="n">
        <x:v>46068</x:v>
      </x:c>
      <x:c r="B8" t="str">
        <x:v>2026-02</x:v>
      </x:c>
      <x:c r="C8" t="str">
        <x:v>Meta Ads</x:v>
      </x:c>
      <x:c r="D8" t="str">
        <x:v>Seasonal</x:v>
      </x:c>
      <x:c r="E8" s="76" t="n">
        <x:v>736.82</x:v>
      </x:c>
      <x:c r="F8" s="88" t="n">
        <x:v>36335</x:v>
      </x:c>
      <x:c r="G8" s="88" t="n">
        <x:v>1082</x:v>
      </x:c>
      <x:c r="H8" s="88" t="n">
        <x:v>171</x:v>
      </x:c>
      <x:c r="I8" s="88" t="n">
        <x:v>46</x:v>
      </x:c>
      <x:c r="J8" s="76" t="n">
        <x:v>13424.47</x:v>
      </x:c>
      <x:c r="K8" s="78" t="n">
        <x:f>G8/F8</x:f>
        <x:v>0.02977845052979221</x:v>
      </x:c>
      <x:c r="L8" s="78" t="n">
        <x:f>IFERROR(H8/G8,0)</x:f>
        <x:v>0.15804066543438078</x:v>
      </x:c>
      <x:c r="M8" s="76" t="n">
        <x:f>IFERROR(E8/H8,0)</x:f>
        <x:v>4.308888888888889</x:v>
      </x:c>
      <x:c r="N8" s="80" t="n">
        <x:f>IFERROR(J8/E8,0)</x:f>
        <x:v>18.219470155533234</x:v>
      </x:c>
    </x:row>
    <x:row r="9">
      <x:c r="A9" s="38" t="n">
        <x:v>46128</x:v>
      </x:c>
      <x:c r="B9" t="str">
        <x:v>2026-04</x:v>
      </x:c>
      <x:c r="C9" t="str">
        <x:v>TikTok Ads</x:v>
      </x:c>
      <x:c r="D9" t="str">
        <x:v>Seasonal</x:v>
      </x:c>
      <x:c r="E9" s="76" t="n">
        <x:v>273.91</x:v>
      </x:c>
      <x:c r="F9" s="88" t="n">
        <x:v>77543</x:v>
      </x:c>
      <x:c r="G9" s="88" t="n">
        <x:v>3803</x:v>
      </x:c>
      <x:c r="H9" s="88" t="n">
        <x:v>584</x:v>
      </x:c>
      <x:c r="I9" s="88" t="n">
        <x:v>85</x:v>
      </x:c>
      <x:c r="J9" s="76" t="n">
        <x:v>32333.22</x:v>
      </x:c>
      <x:c r="K9" s="78" t="n">
        <x:f>G9/F9</x:f>
        <x:v>0.04904375636743484</x:v>
      </x:c>
      <x:c r="L9" s="78" t="n">
        <x:f>IFERROR(H9/G9,0)</x:f>
        <x:v>0.1535629765974231</x:v>
      </x:c>
      <x:c r="M9" s="76" t="n">
        <x:f>IFERROR(E9/H9,0)</x:f>
        <x:v>0.46902397260273976</x:v>
      </x:c>
      <x:c r="N9" s="80" t="n">
        <x:f>IFERROR(J9/E9,0)</x:f>
        <x:v>118.04322587711292</x:v>
      </x:c>
    </x:row>
    <x:row r="10">
      <x:c r="A10" s="38" t="n">
        <x:v>46196</x:v>
      </x:c>
      <x:c r="B10" t="str">
        <x:v>2026-06</x:v>
      </x:c>
      <x:c r="C10" t="str">
        <x:v>Email</x:v>
      </x:c>
      <x:c r="D10" t="str">
        <x:v>Retargeting</x:v>
      </x:c>
      <x:c r="E10" s="76" t="n">
        <x:v>114.83</x:v>
      </x:c>
      <x:c r="F10" s="88" t="n">
        <x:v>37393</x:v>
      </x:c>
      <x:c r="G10" s="88" t="n">
        <x:v>683</x:v>
      </x:c>
      <x:c r="H10" s="88" t="n">
        <x:v>43</x:v>
      </x:c>
      <x:c r="I10" s="88" t="n">
        <x:v>7</x:v>
      </x:c>
      <x:c r="J10" s="76" t="n">
        <x:v>1070.78</x:v>
      </x:c>
      <x:c r="K10" s="78" t="n">
        <x:f>G10/F10</x:f>
        <x:v>0.0182654507528147</x:v>
      </x:c>
      <x:c r="L10" s="78" t="n">
        <x:f>IFERROR(H10/G10,0)</x:f>
        <x:v>0.0629575402635432</x:v>
      </x:c>
      <x:c r="M10" s="76" t="n">
        <x:f>IFERROR(E10/H10,0)</x:f>
        <x:v>2.6704651162790696</x:v>
      </x:c>
      <x:c r="N10" s="80" t="n">
        <x:f>IFERROR(J10/E10,0)</x:f>
        <x:v>9.324915091874946</x:v>
      </x:c>
    </x:row>
    <x:row r="11">
      <x:c r="A11" s="38" t="n">
        <x:v>46197</x:v>
      </x:c>
      <x:c r="B11" t="str">
        <x:v>2026-06</x:v>
      </x:c>
      <x:c r="C11" t="str">
        <x:v>Google Ads</x:v>
      </x:c>
      <x:c r="D11" t="str">
        <x:v>Promo</x:v>
      </x:c>
      <x:c r="E11" s="76" t="n">
        <x:v>787.57</x:v>
      </x:c>
      <x:c r="F11" s="88" t="n">
        <x:v>43981</x:v>
      </x:c>
      <x:c r="G11" s="88" t="n">
        <x:v>2968</x:v>
      </x:c>
      <x:c r="H11" s="88" t="n">
        <x:v>237</x:v>
      </x:c>
      <x:c r="I11" s="88" t="n">
        <x:v>64</x:v>
      </x:c>
      <x:c r="J11" s="76" t="n">
        <x:v>8242.31</x:v>
      </x:c>
      <x:c r="K11" s="78" t="n">
        <x:f>G11/F11</x:f>
        <x:v>0.0674836861371956</x:v>
      </x:c>
      <x:c r="L11" s="78" t="n">
        <x:f>IFERROR(H11/G11,0)</x:f>
        <x:v>0.07985175202156335</x:v>
      </x:c>
      <x:c r="M11" s="76" t="n">
        <x:f>IFERROR(E11/H11,0)</x:f>
        <x:v>3.3230801687763716</x:v>
      </x:c>
      <x:c r="N11" s="80" t="n">
        <x:f>IFERROR(J11/E11,0)</x:f>
        <x:v>10.465495130591565</x:v>
      </x:c>
    </x:row>
    <x:row r="12">
      <x:c r="A12" s="38" t="n">
        <x:v>46139</x:v>
      </x:c>
      <x:c r="B12" t="str">
        <x:v>2026-04</x:v>
      </x:c>
      <x:c r="C12" t="str">
        <x:v>Meta Ads</x:v>
      </x:c>
      <x:c r="D12" t="str">
        <x:v>Seasonal</x:v>
      </x:c>
      <x:c r="E12" s="76" t="n">
        <x:v>422.29</x:v>
      </x:c>
      <x:c r="F12" s="88" t="n">
        <x:v>54291</x:v>
      </x:c>
      <x:c r="G12" s="88" t="n">
        <x:v>3733</x:v>
      </x:c>
      <x:c r="H12" s="88" t="n">
        <x:v>626</x:v>
      </x:c>
      <x:c r="I12" s="88" t="n">
        <x:v>57</x:v>
      </x:c>
      <x:c r="J12" s="76" t="n">
        <x:v>24784.06</x:v>
      </x:c>
      <x:c r="K12" s="78" t="n">
        <x:f>G12/F12</x:f>
        <x:v>0.06875909450921884</x:v>
      </x:c>
      <x:c r="L12" s="78" t="n">
        <x:f>IFERROR(H12/G12,0)</x:f>
        <x:v>0.1676935440664345</x:v>
      </x:c>
      <x:c r="M12" s="76" t="n">
        <x:f>IFERROR(E12/H12,0)</x:f>
        <x:v>0.6745846645367413</x:v>
      </x:c>
      <x:c r="N12" s="80" t="n">
        <x:f>IFERROR(J12/E12,0)</x:f>
        <x:v>58.689668237467146</x:v>
      </x:c>
    </x:row>
    <x:row r="13">
      <x:c r="A13" s="38" t="n">
        <x:v>46070</x:v>
      </x:c>
      <x:c r="B13" t="str">
        <x:v>2026-02</x:v>
      </x:c>
      <x:c r="C13" t="str">
        <x:v>Organic Search</x:v>
      </x:c>
      <x:c r="D13" t="str">
        <x:v>Launch</x:v>
      </x:c>
      <x:c r="E13" s="76" t="n">
        <x:v>92.81</x:v>
      </x:c>
      <x:c r="F13" s="88" t="n">
        <x:v>46315</x:v>
      </x:c>
      <x:c r="G13" s="88" t="n">
        <x:v>926</x:v>
      </x:c>
      <x:c r="H13" s="88" t="n">
        <x:v>68</x:v>
      </x:c>
      <x:c r="I13" s="88" t="n">
        <x:v>22</x:v>
      </x:c>
      <x:c r="J13" s="76" t="n">
        <x:v>7988.39</x:v>
      </x:c>
      <x:c r="K13" s="78" t="n">
        <x:f>G13/F13</x:f>
        <x:v>0.019993522616862786</x:v>
      </x:c>
      <x:c r="L13" s="78" t="n">
        <x:f>IFERROR(H13/G13,0)</x:f>
        <x:v>0.0734341252699784</x:v>
      </x:c>
      <x:c r="M13" s="76" t="n">
        <x:f>IFERROR(E13/H13,0)</x:f>
        <x:v>1.3648529411764707</x:v>
      </x:c>
      <x:c r="N13" s="80" t="n">
        <x:f>IFERROR(J13/E13,0)</x:f>
        <x:v>86.07251373774378</x:v>
      </x:c>
    </x:row>
    <x:row r="14">
      <x:c r="A14" s="38" t="n">
        <x:v>46152</x:v>
      </x:c>
      <x:c r="B14" t="str">
        <x:v>2026-05</x:v>
      </x:c>
      <x:c r="C14" t="str">
        <x:v>TikTok Ads</x:v>
      </x:c>
      <x:c r="D14" t="str">
        <x:v>Launch</x:v>
      </x:c>
      <x:c r="E14" s="76" t="n">
        <x:v>881.31</x:v>
      </x:c>
      <x:c r="F14" s="88" t="n">
        <x:v>2214</x:v>
      </x:c>
      <x:c r="G14" s="88" t="n">
        <x:v>106</x:v>
      </x:c>
      <x:c r="H14" s="88" t="n">
        <x:v>15</x:v>
      </x:c>
      <x:c r="I14" s="88" t="n">
        <x:v>2</x:v>
      </x:c>
      <x:c r="J14" s="76" t="n">
        <x:v>628.13</x:v>
      </x:c>
      <x:c r="K14" s="78" t="n">
        <x:f>G14/F14</x:f>
        <x:v>0.04787714543812105</x:v>
      </x:c>
      <x:c r="L14" s="78" t="n">
        <x:f>IFERROR(H14/G14,0)</x:f>
        <x:v>0.14150943396226415</x:v>
      </x:c>
      <x:c r="M14" s="76" t="n">
        <x:f>IFERROR(E14/H14,0)</x:f>
        <x:v>58.754</x:v>
      </x:c>
      <x:c r="N14" s="80" t="n">
        <x:f>IFERROR(J14/E14,0)</x:f>
        <x:v>0.7127231053772226</x:v>
      </x:c>
    </x:row>
    <x:row r="15">
      <x:c r="A15" s="38" t="n">
        <x:v>46163</x:v>
      </x:c>
      <x:c r="B15" t="str">
        <x:v>2026-05</x:v>
      </x:c>
      <x:c r="C15" t="str">
        <x:v>Google Ads</x:v>
      </x:c>
      <x:c r="D15" t="str">
        <x:v>Brand</x:v>
      </x:c>
      <x:c r="E15" s="76" t="n">
        <x:v>736.78</x:v>
      </x:c>
      <x:c r="F15" s="88" t="n">
        <x:v>9509</x:v>
      </x:c>
      <x:c r="G15" s="88" t="n">
        <x:v>468</x:v>
      </x:c>
      <x:c r="H15" s="88" t="n">
        <x:v>75</x:v>
      </x:c>
      <x:c r="I15" s="88" t="n">
        <x:v>14</x:v>
      </x:c>
      <x:c r="J15" s="76" t="n">
        <x:v>4817.32</x:v>
      </x:c>
      <x:c r="K15" s="78" t="n">
        <x:f>G15/F15</x:f>
        <x:v>0.04921653170680408</x:v>
      </x:c>
      <x:c r="L15" s="78" t="n">
        <x:f>IFERROR(H15/G15,0)</x:f>
        <x:v>0.16025641025641027</x:v>
      </x:c>
      <x:c r="M15" s="76" t="n">
        <x:f>IFERROR(E15/H15,0)</x:f>
        <x:v>9.823733333333333</x:v>
      </x:c>
      <x:c r="N15" s="80" t="n">
        <x:f>IFERROR(J15/E15,0)</x:f>
        <x:v>6.538342517440755</x:v>
      </x:c>
    </x:row>
    <x:row r="16">
      <x:c r="A16" s="38" t="n">
        <x:v>46087</x:v>
      </x:c>
      <x:c r="B16" t="str">
        <x:v>2026-03</x:v>
      </x:c>
      <x:c r="C16" t="str">
        <x:v>Google Ads</x:v>
      </x:c>
      <x:c r="D16" t="str">
        <x:v>Lead Magnet</x:v>
      </x:c>
      <x:c r="E16" s="76" t="n">
        <x:v>910.53</x:v>
      </x:c>
      <x:c r="F16" s="88" t="n">
        <x:v>80184</x:v>
      </x:c>
      <x:c r="G16" s="88" t="n">
        <x:v>803</x:v>
      </x:c>
      <x:c r="H16" s="88" t="n">
        <x:v>68</x:v>
      </x:c>
      <x:c r="I16" s="88" t="n">
        <x:v>19</x:v>
      </x:c>
      <x:c r="J16" s="76" t="n">
        <x:v>5073.41</x:v>
      </x:c>
      <x:c r="K16" s="78" t="n">
        <x:f>G16/F16</x:f>
        <x:v>0.010014466726528984</x:v>
      </x:c>
      <x:c r="L16" s="78" t="n">
        <x:f>IFERROR(H16/G16,0)</x:f>
        <x:v>0.08468244084682441</x:v>
      </x:c>
      <x:c r="M16" s="76" t="n">
        <x:f>IFERROR(E16/H16,0)</x:f>
        <x:v>13.39014705882353</x:v>
      </x:c>
      <x:c r="N16" s="80" t="n">
        <x:f>IFERROR(J16/E16,0)</x:f>
        <x:v>5.571930633806684</x:v>
      </x:c>
    </x:row>
    <x:row r="17">
      <x:c r="A17" s="38" t="n">
        <x:v>46112</x:v>
      </x:c>
      <x:c r="B17" t="str">
        <x:v>2026-03</x:v>
      </x:c>
      <x:c r="C17" t="str">
        <x:v>Google Ads</x:v>
      </x:c>
      <x:c r="D17" t="str">
        <x:v>Seasonal</x:v>
      </x:c>
      <x:c r="E17" s="76" t="n">
        <x:v>141.18</x:v>
      </x:c>
      <x:c r="F17" s="88" t="n">
        <x:v>87610</x:v>
      </x:c>
      <x:c r="G17" s="88" t="n">
        <x:v>2940</x:v>
      </x:c>
      <x:c r="H17" s="88" t="n">
        <x:v>272</x:v>
      </x:c>
      <x:c r="I17" s="88" t="n">
        <x:v>79</x:v>
      </x:c>
      <x:c r="J17" s="76" t="n">
        <x:v>18550.55</x:v>
      </x:c>
      <x:c r="K17" s="78" t="n">
        <x:f>G17/F17</x:f>
        <x:v>0.03355781303504166</x:v>
      </x:c>
      <x:c r="L17" s="78" t="n">
        <x:f>IFERROR(H17/G17,0)</x:f>
        <x:v>0.09251700680272108</x:v>
      </x:c>
      <x:c r="M17" s="76" t="n">
        <x:f>IFERROR(E17/H17,0)</x:f>
        <x:v>0.5190441176470588</x:v>
      </x:c>
      <x:c r="N17" s="80" t="n">
        <x:f>IFERROR(J17/E17,0)</x:f>
        <x:v>131.39644425556025</x:v>
      </x:c>
    </x:row>
    <x:row r="18">
      <x:c r="A18" s="38" t="n">
        <x:v>46024</x:v>
      </x:c>
      <x:c r="B18" t="str">
        <x:v>2026-01</x:v>
      </x:c>
      <x:c r="C18" t="str">
        <x:v>Influencers</x:v>
      </x:c>
      <x:c r="D18" t="str">
        <x:v>Promo</x:v>
      </x:c>
      <x:c r="E18" s="76" t="n">
        <x:v>872.31</x:v>
      </x:c>
      <x:c r="F18" s="88" t="n">
        <x:v>75218</x:v>
      </x:c>
      <x:c r="G18" s="88" t="n">
        <x:v>4741</x:v>
      </x:c>
      <x:c r="H18" s="88" t="n">
        <x:v>580</x:v>
      </x:c>
      <x:c r="I18" s="88" t="n">
        <x:v>151</x:v>
      </x:c>
      <x:c r="J18" s="76" t="n">
        <x:v>34198.45</x:v>
      </x:c>
      <x:c r="K18" s="78" t="n">
        <x:f>G18/F18</x:f>
        <x:v>0.06303012576776836</x:v>
      </x:c>
      <x:c r="L18" s="78" t="n">
        <x:f>IFERROR(H18/G18,0)</x:f>
        <x:v>0.1223370596920481</x:v>
      </x:c>
      <x:c r="M18" s="76" t="n">
        <x:f>IFERROR(E18/H18,0)</x:f>
        <x:v>1.5039827586206895</x:v>
      </x:c>
      <x:c r="N18" s="80" t="n">
        <x:f>IFERROR(J18/E18,0)</x:f>
        <x:v>39.20446859488026</x:v>
      </x:c>
    </x:row>
    <x:row r="19">
      <x:c r="A19" s="38" t="n">
        <x:v>46108</x:v>
      </x:c>
      <x:c r="B19" t="str">
        <x:v>2026-03</x:v>
      </x:c>
      <x:c r="C19" t="str">
        <x:v>Email</x:v>
      </x:c>
      <x:c r="D19" t="str">
        <x:v>Brand</x:v>
      </x:c>
      <x:c r="E19" s="76" t="n">
        <x:v>36.28</x:v>
      </x:c>
      <x:c r="F19" s="88" t="n">
        <x:v>67892</x:v>
      </x:c>
      <x:c r="G19" s="88" t="n">
        <x:v>2767</x:v>
      </x:c>
      <x:c r="H19" s="88" t="n">
        <x:v>76</x:v>
      </x:c>
      <x:c r="I19" s="88" t="n">
        <x:v>21</x:v>
      </x:c>
      <x:c r="J19" s="76" t="n">
        <x:v>5886.9</x:v>
      </x:c>
      <x:c r="K19" s="78" t="n">
        <x:f>G19/F19</x:f>
        <x:v>0.04075590643963943</x:v>
      </x:c>
      <x:c r="L19" s="78" t="n">
        <x:f>IFERROR(H19/G19,0)</x:f>
        <x:v>0.027466570292735814</x:v>
      </x:c>
      <x:c r="M19" s="76" t="n">
        <x:f>IFERROR(E19/H19,0)</x:f>
        <x:v>0.4773684210526316</x:v>
      </x:c>
      <x:c r="N19" s="80" t="n">
        <x:f>IFERROR(J19/E19,0)</x:f>
        <x:v>162.26295479603087</x:v>
      </x:c>
    </x:row>
    <x:row r="20">
      <x:c r="A20" s="38" t="n">
        <x:v>46143</x:v>
      </x:c>
      <x:c r="B20" t="str">
        <x:v>2026-05</x:v>
      </x:c>
      <x:c r="C20" t="str">
        <x:v>TikTok Ads</x:v>
      </x:c>
      <x:c r="D20" t="str">
        <x:v>Lead Magnet</x:v>
      </x:c>
      <x:c r="E20" s="76" t="n">
        <x:v>352.56</x:v>
      </x:c>
      <x:c r="F20" s="88" t="n">
        <x:v>35747</x:v>
      </x:c>
      <x:c r="G20" s="88" t="n">
        <x:v>1095</x:v>
      </x:c>
      <x:c r="H20" s="88" t="n">
        <x:v>115</x:v>
      </x:c>
      <x:c r="I20" s="88" t="n">
        <x:v>13</x:v>
      </x:c>
      <x:c r="J20" s="76" t="n">
        <x:v>4432.93</x:v>
      </x:c>
      <x:c r="K20" s="78" t="n">
        <x:f>G20/F20</x:f>
        <x:v>0.030631941141914008</x:v>
      </x:c>
      <x:c r="L20" s="78" t="n">
        <x:f>IFERROR(H20/G20,0)</x:f>
        <x:v>0.1050228310502283</x:v>
      </x:c>
      <x:c r="M20" s="76" t="n">
        <x:f>IFERROR(E20/H20,0)</x:f>
        <x:v>3.0657391304347827</x:v>
      </x:c>
      <x:c r="N20" s="80" t="n">
        <x:f>IFERROR(J20/E20,0)</x:f>
        <x:v>12.573547764919446</x:v>
      </x:c>
    </x:row>
    <x:row r="21">
      <x:c r="A21" s="38" t="n">
        <x:v>46149</x:v>
      </x:c>
      <x:c r="B21" t="str">
        <x:v>2026-05</x:v>
      </x:c>
      <x:c r="C21" t="str">
        <x:v>TikTok Ads</x:v>
      </x:c>
      <x:c r="D21" t="str">
        <x:v>Retargeting</x:v>
      </x:c>
      <x:c r="E21" s="76" t="n">
        <x:v>237.4</x:v>
      </x:c>
      <x:c r="F21" s="88" t="n">
        <x:v>78232</x:v>
      </x:c>
      <x:c r="G21" s="88" t="n">
        <x:v>1283</x:v>
      </x:c>
      <x:c r="H21" s="88" t="n">
        <x:v>64</x:v>
      </x:c>
      <x:c r="I21" s="88" t="n">
        <x:v>16</x:v>
      </x:c>
      <x:c r="J21" s="76" t="n">
        <x:v>6492.89</x:v>
      </x:c>
      <x:c r="K21" s="78" t="n">
        <x:f>G21/F21</x:f>
        <x:v>0.01639993864403313</x:v>
      </x:c>
      <x:c r="L21" s="78" t="n">
        <x:f>IFERROR(H21/G21,0)</x:f>
        <x:v>0.04988308651597818</x:v>
      </x:c>
      <x:c r="M21" s="76" t="n">
        <x:f>IFERROR(E21/H21,0)</x:f>
        <x:v>3.709375</x:v>
      </x:c>
      <x:c r="N21" s="80" t="n">
        <x:f>IFERROR(J21/E21,0)</x:f>
        <x:v>27.35</x:v>
      </x:c>
    </x:row>
    <x:row r="22">
      <x:c r="A22" s="38" t="n">
        <x:v>46056</x:v>
      </x:c>
      <x:c r="B22" t="str">
        <x:v>2026-02</x:v>
      </x:c>
      <x:c r="C22" t="str">
        <x:v>TikTok Ads</x:v>
      </x:c>
      <x:c r="D22" t="str">
        <x:v>Seasonal</x:v>
      </x:c>
      <x:c r="E22" s="76" t="n">
        <x:v>772.34</x:v>
      </x:c>
      <x:c r="F22" s="88" t="n">
        <x:v>15728</x:v>
      </x:c>
      <x:c r="G22" s="88" t="n">
        <x:v>1100</x:v>
      </x:c>
      <x:c r="H22" s="88" t="n">
        <x:v>99</x:v>
      </x:c>
      <x:c r="I22" s="88" t="n">
        <x:v>18</x:v>
      </x:c>
      <x:c r="J22" s="76" t="n">
        <x:v>7937.81</x:v>
      </x:c>
      <x:c r="K22" s="78" t="n">
        <x:f>G22/F22</x:f>
        <x:v>0.06993896236012208</x:v>
      </x:c>
      <x:c r="L22" s="78" t="n">
        <x:f>IFERROR(H22/G22,0)</x:f>
        <x:v>0.09</x:v>
      </x:c>
      <x:c r="M22" s="76" t="n">
        <x:f>IFERROR(E22/H22,0)</x:f>
        <x:v>7.801414141414142</x:v>
      </x:c>
      <x:c r="N22" s="80" t="n">
        <x:f>IFERROR(J22/E22,0)</x:f>
        <x:v>10.277610896755315</x:v>
      </x:c>
    </x:row>
    <x:row r="23">
      <x:c r="A23" s="38" t="n">
        <x:v>46136</x:v>
      </x:c>
      <x:c r="B23" t="str">
        <x:v>2026-04</x:v>
      </x:c>
      <x:c r="C23" t="str">
        <x:v>TikTok Ads</x:v>
      </x:c>
      <x:c r="D23" t="str">
        <x:v>Retargeting</x:v>
      </x:c>
      <x:c r="E23" s="76" t="n">
        <x:v>409.8</x:v>
      </x:c>
      <x:c r="F23" s="88" t="n">
        <x:v>22944</x:v>
      </x:c>
      <x:c r="G23" s="88" t="n">
        <x:v>706</x:v>
      </x:c>
      <x:c r="H23" s="88" t="n">
        <x:v>103</x:v>
      </x:c>
      <x:c r="I23" s="88" t="n">
        <x:v>29</x:v>
      </x:c>
      <x:c r="J23" s="76" t="n">
        <x:v>12729.67</x:v>
      </x:c>
      <x:c r="K23" s="78" t="n">
        <x:f>G23/F23</x:f>
        <x:v>0.030770571827057183</x:v>
      </x:c>
      <x:c r="L23" s="78" t="n">
        <x:f>IFERROR(H23/G23,0)</x:f>
        <x:v>0.14589235127478753</x:v>
      </x:c>
      <x:c r="M23" s="76" t="n">
        <x:f>IFERROR(E23/H23,0)</x:f>
        <x:v>3.978640776699029</x:v>
      </x:c>
      <x:c r="N23" s="80" t="n">
        <x:f>IFERROR(J23/E23,0)</x:f>
        <x:v>31.063128355295266</x:v>
      </x:c>
    </x:row>
    <x:row r="24">
      <x:c r="A24" s="38" t="n">
        <x:v>46118</x:v>
      </x:c>
      <x:c r="B24" t="str">
        <x:v>2026-04</x:v>
      </x:c>
      <x:c r="C24" t="str">
        <x:v>Email</x:v>
      </x:c>
      <x:c r="D24" t="str">
        <x:v>Promo</x:v>
      </x:c>
      <x:c r="E24" s="76" t="n">
        <x:v>28.09</x:v>
      </x:c>
      <x:c r="F24" s="88" t="n">
        <x:v>86535</x:v>
      </x:c>
      <x:c r="G24" s="88" t="n">
        <x:v>1564</x:v>
      </x:c>
      <x:c r="H24" s="88" t="n">
        <x:v>32</x:v>
      </x:c>
      <x:c r="I24" s="88" t="n">
        <x:v>9</x:v>
      </x:c>
      <x:c r="J24" s="76" t="n">
        <x:v>989.98</x:v>
      </x:c>
      <x:c r="K24" s="78" t="n">
        <x:f>G24/F24</x:f>
        <x:v>0.018073611833362223</x:v>
      </x:c>
      <x:c r="L24" s="78" t="n">
        <x:f>IFERROR(H24/G24,0)</x:f>
        <x:v>0.020460358056265986</x:v>
      </x:c>
      <x:c r="M24" s="76" t="n">
        <x:f>IFERROR(E24/H24,0)</x:f>
        <x:v>0.8778125</x:v>
      </x:c>
      <x:c r="N24" s="80" t="n">
        <x:f>IFERROR(J24/E24,0)</x:f>
        <x:v>35.243147027411894</x:v>
      </x:c>
    </x:row>
    <x:row r="25">
      <x:c r="A25" s="38" t="n">
        <x:v>46200</x:v>
      </x:c>
      <x:c r="B25" t="str">
        <x:v>2026-06</x:v>
      </x:c>
      <x:c r="C25" t="str">
        <x:v>TikTok Ads</x:v>
      </x:c>
      <x:c r="D25" t="str">
        <x:v>Brand</x:v>
      </x:c>
      <x:c r="E25" s="76" t="n">
        <x:v>934.69</x:v>
      </x:c>
      <x:c r="F25" s="88" t="n">
        <x:v>47935</x:v>
      </x:c>
      <x:c r="G25" s="88" t="n">
        <x:v>1905</x:v>
      </x:c>
      <x:c r="H25" s="88" t="n">
        <x:v>119</x:v>
      </x:c>
      <x:c r="I25" s="88" t="n">
        <x:v>13</x:v>
      </x:c>
      <x:c r="J25" s="76" t="n">
        <x:v>4956.07</x:v>
      </x:c>
      <x:c r="K25" s="78" t="n">
        <x:f>G25/F25</x:f>
        <x:v>0.039741316365912174</x:v>
      </x:c>
      <x:c r="L25" s="78" t="n">
        <x:f>IFERROR(H25/G25,0)</x:f>
        <x:v>0.06246719160104987</x:v>
      </x:c>
      <x:c r="M25" s="76" t="n">
        <x:f>IFERROR(E25/H25,0)</x:f>
        <x:v>7.854537815126051</x:v>
      </x:c>
      <x:c r="N25" s="80" t="n">
        <x:f>IFERROR(J25/E25,0)</x:f>
        <x:v>5.302367629909381</x:v>
      </x:c>
    </x:row>
    <x:row r="26">
      <x:c r="A26" s="38" t="n">
        <x:v>46138</x:v>
      </x:c>
      <x:c r="B26" t="str">
        <x:v>2026-04</x:v>
      </x:c>
      <x:c r="C26" t="str">
        <x:v>Organic Search</x:v>
      </x:c>
      <x:c r="D26" t="str">
        <x:v>Brand</x:v>
      </x:c>
      <x:c r="E26" s="76" t="n">
        <x:v>73.85</x:v>
      </x:c>
      <x:c r="F26" s="88" t="n">
        <x:v>29487</x:v>
      </x:c>
      <x:c r="G26" s="88" t="n">
        <x:v>1057</x:v>
      </x:c>
      <x:c r="H26" s="88" t="n">
        <x:v>166</x:v>
      </x:c>
      <x:c r="I26" s="88" t="n">
        <x:v>28</x:v>
      </x:c>
      <x:c r="J26" s="76" t="n">
        <x:v>4710.48</x:v>
      </x:c>
      <x:c r="K26" s="78" t="n">
        <x:f>G26/F26</x:f>
        <x:v>0.03584630515142266</x:v>
      </x:c>
      <x:c r="L26" s="78" t="n">
        <x:f>IFERROR(H26/G26,0)</x:f>
        <x:v>0.15704824976348156</x:v>
      </x:c>
      <x:c r="M26" s="76" t="n">
        <x:f>IFERROR(E26/H26,0)</x:f>
        <x:v>0.44487951807228915</x:v>
      </x:c>
      <x:c r="N26" s="80" t="n">
        <x:f>IFERROR(J26/E26,0)</x:f>
        <x:v>63.7844278943805</x:v>
      </x:c>
    </x:row>
    <x:row r="27">
      <x:c r="A27" s="38" t="n">
        <x:v>46076</x:v>
      </x:c>
      <x:c r="B27" t="str">
        <x:v>2026-02</x:v>
      </x:c>
      <x:c r="C27" t="str">
        <x:v>Organic Search</x:v>
      </x:c>
      <x:c r="D27" t="str">
        <x:v>Launch</x:v>
      </x:c>
      <x:c r="E27" s="76" t="n">
        <x:v>186.92</x:v>
      </x:c>
      <x:c r="F27" s="88" t="n">
        <x:v>15626</x:v>
      </x:c>
      <x:c r="G27" s="88" t="n">
        <x:v>759</x:v>
      </x:c>
      <x:c r="H27" s="88" t="n">
        <x:v>129</x:v>
      </x:c>
      <x:c r="I27" s="88" t="n">
        <x:v>34</x:v>
      </x:c>
      <x:c r="J27" s="76" t="n">
        <x:v>10010.13</x:v>
      </x:c>
      <x:c r="K27" s="78" t="n">
        <x:f>G27/F27</x:f>
        <x:v>0.048572891334954564</x:v>
      </x:c>
      <x:c r="L27" s="78" t="n">
        <x:f>IFERROR(H27/G27,0)</x:f>
        <x:v>0.16996047430830039</x:v>
      </x:c>
      <x:c r="M27" s="76" t="n">
        <x:f>IFERROR(E27/H27,0)</x:f>
        <x:v>1.4489922480620154</x:v>
      </x:c>
      <x:c r="N27" s="80" t="n">
        <x:f>IFERROR(J27/E27,0)</x:f>
        <x:v>53.55301733361866</x:v>
      </x:c>
    </x:row>
    <x:row r="28">
      <x:c r="A28" s="38" t="n">
        <x:v>46131</x:v>
      </x:c>
      <x:c r="B28" t="str">
        <x:v>2026-04</x:v>
      </x:c>
      <x:c r="C28" t="str">
        <x:v>Influencers</x:v>
      </x:c>
      <x:c r="D28" t="str">
        <x:v>Launch</x:v>
      </x:c>
      <x:c r="E28" s="76" t="n">
        <x:v>841.52</x:v>
      </x:c>
      <x:c r="F28" s="88" t="n">
        <x:v>24103</x:v>
      </x:c>
      <x:c r="G28" s="88" t="n">
        <x:v>418</x:v>
      </x:c>
      <x:c r="H28" s="88" t="n">
        <x:v>75</x:v>
      </x:c>
      <x:c r="I28" s="88" t="n">
        <x:v>15</x:v>
      </x:c>
      <x:c r="J28" s="76" t="n">
        <x:v>5452.15</x:v>
      </x:c>
      <x:c r="K28" s="78" t="n">
        <x:f>G28/F28</x:f>
        <x:v>0.017342239555242087</x:v>
      </x:c>
      <x:c r="L28" s="78" t="n">
        <x:f>IFERROR(H28/G28,0)</x:f>
        <x:v>0.17942583732057416</x:v>
      </x:c>
      <x:c r="M28" s="76" t="n">
        <x:f>IFERROR(E28/H28,0)</x:f>
        <x:v>11.220266666666667</x:v>
      </x:c>
      <x:c r="N28" s="80" t="n">
        <x:f>IFERROR(J28/E28,0)</x:f>
        <x:v>6.478930982032512</x:v>
      </x:c>
    </x:row>
    <x:row r="29">
      <x:c r="A29" s="38" t="n">
        <x:v>46174</x:v>
      </x:c>
      <x:c r="B29" t="str">
        <x:v>2026-06</x:v>
      </x:c>
      <x:c r="C29" t="str">
        <x:v>Influencers</x:v>
      </x:c>
      <x:c r="D29" t="str">
        <x:v>Promo</x:v>
      </x:c>
      <x:c r="E29" s="76" t="n">
        <x:v>352.33</x:v>
      </x:c>
      <x:c r="F29" s="88" t="n">
        <x:v>51754</x:v>
      </x:c>
      <x:c r="G29" s="88" t="n">
        <x:v>1105</x:v>
      </x:c>
      <x:c r="H29" s="88" t="n">
        <x:v>38</x:v>
      </x:c>
      <x:c r="I29" s="88" t="n">
        <x:v>5</x:v>
      </x:c>
      <x:c r="J29" s="76" t="n">
        <x:v>1579.06</x:v>
      </x:c>
      <x:c r="K29" s="78" t="n">
        <x:f>G29/F29</x:f>
        <x:v>0.021351006685473586</x:v>
      </x:c>
      <x:c r="L29" s="78" t="n">
        <x:f>IFERROR(H29/G29,0)</x:f>
        <x:v>0.034389140271493215</x:v>
      </x:c>
      <x:c r="M29" s="76" t="n">
        <x:f>IFERROR(E29/H29,0)</x:f>
        <x:v>9.271842105263158</x:v>
      </x:c>
      <x:c r="N29" s="80" t="n">
        <x:f>IFERROR(J29/E29,0)</x:f>
        <x:v>4.481764255101751</x:v>
      </x:c>
    </x:row>
    <x:row r="30">
      <x:c r="A30" s="38" t="n">
        <x:v>46121</x:v>
      </x:c>
      <x:c r="B30" t="str">
        <x:v>2026-04</x:v>
      </x:c>
      <x:c r="C30" t="str">
        <x:v>Meta Ads</x:v>
      </x:c>
      <x:c r="D30" t="str">
        <x:v>Lead Magnet</x:v>
      </x:c>
      <x:c r="E30" s="76" t="n">
        <x:v>676.45</x:v>
      </x:c>
      <x:c r="F30" s="88" t="n">
        <x:v>66641</x:v>
      </x:c>
      <x:c r="G30" s="88" t="n">
        <x:v>3621</x:v>
      </x:c>
      <x:c r="H30" s="88" t="n">
        <x:v>235</x:v>
      </x:c>
      <x:c r="I30" s="88" t="n">
        <x:v>28</x:v>
      </x:c>
      <x:c r="J30" s="76" t="n">
        <x:v>6625.95</x:v>
      </x:c>
      <x:c r="K30" s="78" t="n">
        <x:f>G30/F30</x:f>
        <x:v>0.05433591932894164</x:v>
      </x:c>
      <x:c r="L30" s="78" t="n">
        <x:f>IFERROR(H30/G30,0)</x:f>
        <x:v>0.06489919911626622</x:v>
      </x:c>
      <x:c r="M30" s="76" t="n">
        <x:f>IFERROR(E30/H30,0)</x:f>
        <x:v>2.8785106382978727</x:v>
      </x:c>
      <x:c r="N30" s="80" t="n">
        <x:f>IFERROR(J30/E30,0)</x:f>
        <x:v>9.795180722891565</x:v>
      </x:c>
    </x:row>
    <x:row r="31">
      <x:c r="A31" s="38" t="n">
        <x:v>46174</x:v>
      </x:c>
      <x:c r="B31" t="str">
        <x:v>2026-06</x:v>
      </x:c>
      <x:c r="C31" t="str">
        <x:v>Organic Search</x:v>
      </x:c>
      <x:c r="D31" t="str">
        <x:v>Seasonal</x:v>
      </x:c>
      <x:c r="E31" s="76" t="n">
        <x:v>41.17</x:v>
      </x:c>
      <x:c r="F31" s="88" t="n">
        <x:v>77814</x:v>
      </x:c>
      <x:c r="G31" s="88" t="n">
        <x:v>3250</x:v>
      </x:c>
      <x:c r="H31" s="88" t="n">
        <x:v>289</x:v>
      </x:c>
      <x:c r="I31" s="88" t="n">
        <x:v>59</x:v>
      </x:c>
      <x:c r="J31" s="76" t="n">
        <x:v>4859.69</x:v>
      </x:c>
      <x:c r="K31" s="78" t="n">
        <x:f>G31/F31</x:f>
        <x:v>0.04176626314030894</x:v>
      </x:c>
      <x:c r="L31" s="78" t="n">
        <x:f>IFERROR(H31/G31,0)</x:f>
        <x:v>0.08892307692307692</x:v>
      </x:c>
      <x:c r="M31" s="76" t="n">
        <x:f>IFERROR(E31/H31,0)</x:f>
        <x:v>0.1424567474048443</x:v>
      </x:c>
      <x:c r="N31" s="80" t="n">
        <x:f>IFERROR(J31/E31,0)</x:f>
        <x:v>118.03959193587562</x:v>
      </x:c>
    </x:row>
    <x:row r="32">
      <x:c r="A32" s="38" t="n">
        <x:v>46190</x:v>
      </x:c>
      <x:c r="B32" t="str">
        <x:v>2026-06</x:v>
      </x:c>
      <x:c r="C32" t="str">
        <x:v>Email</x:v>
      </x:c>
      <x:c r="D32" t="str">
        <x:v>Brand</x:v>
      </x:c>
      <x:c r="E32" s="76" t="n">
        <x:v>161.78</x:v>
      </x:c>
      <x:c r="F32" s="88" t="n">
        <x:v>25212</x:v>
      </x:c>
      <x:c r="G32" s="88" t="n">
        <x:v>1123</x:v>
      </x:c>
      <x:c r="H32" s="88" t="n">
        <x:v>106</x:v>
      </x:c>
      <x:c r="I32" s="88" t="n">
        <x:v>30</x:v>
      </x:c>
      <x:c r="J32" s="76" t="n">
        <x:v>10154.65</x:v>
      </x:c>
      <x:c r="K32" s="78" t="n">
        <x:f>G32/F32</x:f>
        <x:v>0.04454228145327622</x:v>
      </x:c>
      <x:c r="L32" s="78" t="n">
        <x:f>IFERROR(H32/G32,0)</x:f>
        <x:v>0.0943900267141585</x:v>
      </x:c>
      <x:c r="M32" s="76" t="n">
        <x:f>IFERROR(E32/H32,0)</x:f>
        <x:v>1.5262264150943397</x:v>
      </x:c>
      <x:c r="N32" s="80" t="n">
        <x:f>IFERROR(J32/E32,0)</x:f>
        <x:v>62.76826554580294</x:v>
      </x:c>
    </x:row>
    <x:row r="33">
      <x:c r="A33" s="38" t="n">
        <x:v>46145</x:v>
      </x:c>
      <x:c r="B33" t="str">
        <x:v>2026-05</x:v>
      </x:c>
      <x:c r="C33" t="str">
        <x:v>Organic Search</x:v>
      </x:c>
      <x:c r="D33" t="str">
        <x:v>Launch</x:v>
      </x:c>
      <x:c r="E33" s="76" t="n">
        <x:v>7.94</x:v>
      </x:c>
      <x:c r="F33" s="88" t="n">
        <x:v>60145</x:v>
      </x:c>
      <x:c r="G33" s="88" t="n">
        <x:v>4027</x:v>
      </x:c>
      <x:c r="H33" s="88" t="n">
        <x:v>344</x:v>
      </x:c>
      <x:c r="I33" s="88" t="n">
        <x:v>34</x:v>
      </x:c>
      <x:c r="J33" s="76" t="n">
        <x:v>4340.62</x:v>
      </x:c>
      <x:c r="K33" s="78" t="n">
        <x:f>G33/F33</x:f>
        <x:v>0.06695485909053121</x:v>
      </x:c>
      <x:c r="L33" s="78" t="n">
        <x:f>IFERROR(H33/G33,0)</x:f>
        <x:v>0.0854233921033027</x:v>
      </x:c>
      <x:c r="M33" s="76" t="n">
        <x:f>IFERROR(E33/H33,0)</x:f>
        <x:v>0.02308139534883721</x:v>
      </x:c>
      <x:c r="N33" s="80" t="n">
        <x:f>IFERROR(J33/E33,0)</x:f>
        <x:v>546.6775818639798</x:v>
      </x:c>
    </x:row>
    <x:row r="34">
      <x:c r="A34" s="38" t="n">
        <x:v>46194</x:v>
      </x:c>
      <x:c r="B34" t="str">
        <x:v>2026-06</x:v>
      </x:c>
      <x:c r="C34" t="str">
        <x:v>Organic Search</x:v>
      </x:c>
      <x:c r="D34" t="str">
        <x:v>Lead Magnet</x:v>
      </x:c>
      <x:c r="E34" s="76" t="n">
        <x:v>192.24</x:v>
      </x:c>
      <x:c r="F34" s="88" t="n">
        <x:v>21620</x:v>
      </x:c>
      <x:c r="G34" s="88" t="n">
        <x:v>445</x:v>
      </x:c>
      <x:c r="H34" s="88" t="n">
        <x:v>42</x:v>
      </x:c>
      <x:c r="I34" s="88" t="n">
        <x:v>8</x:v>
      </x:c>
      <x:c r="J34" s="76" t="n">
        <x:v>1880.99</x:v>
      </x:c>
      <x:c r="K34" s="78" t="n">
        <x:f>G34/F34</x:f>
        <x:v>0.020582793709528216</x:v>
      </x:c>
      <x:c r="L34" s="78" t="n">
        <x:f>IFERROR(H34/G34,0)</x:f>
        <x:v>0.09438202247191012</x:v>
      </x:c>
      <x:c r="M34" s="76" t="n">
        <x:f>IFERROR(E34/H34,0)</x:f>
        <x:v>4.577142857142857</x:v>
      </x:c>
      <x:c r="N34" s="80" t="n">
        <x:f>IFERROR(J34/E34,0)</x:f>
        <x:v>9.78459217644611</x:v>
      </x:c>
    </x:row>
    <x:row r="35">
      <x:c r="A35" s="38" t="n">
        <x:v>46085</x:v>
      </x:c>
      <x:c r="B35" t="str">
        <x:v>2026-03</x:v>
      </x:c>
      <x:c r="C35" t="str">
        <x:v>Google Ads</x:v>
      </x:c>
      <x:c r="D35" t="str">
        <x:v>Brand</x:v>
      </x:c>
      <x:c r="E35" s="76" t="n">
        <x:v>148.77</x:v>
      </x:c>
      <x:c r="F35" s="88" t="n">
        <x:v>77193</x:v>
      </x:c>
      <x:c r="G35" s="88" t="n">
        <x:v>4380</x:v>
      </x:c>
      <x:c r="H35" s="88" t="n">
        <x:v>232</x:v>
      </x:c>
      <x:c r="I35" s="88" t="n">
        <x:v>40</x:v>
      </x:c>
      <x:c r="J35" s="76" t="n">
        <x:v>14923.51</x:v>
      </x:c>
      <x:c r="K35" s="78" t="n">
        <x:f>G35/F35</x:f>
        <x:v>0.05674089619525086</x:v>
      </x:c>
      <x:c r="L35" s="78" t="n">
        <x:f>IFERROR(H35/G35,0)</x:f>
        <x:v>0.052968036529680365</x:v>
      </x:c>
      <x:c r="M35" s="76" t="n">
        <x:f>IFERROR(E35/H35,0)</x:f>
        <x:v>0.6412500000000001</x:v>
      </x:c>
      <x:c r="N35" s="80" t="n">
        <x:f>IFERROR(J35/E35,0)</x:f>
        <x:v>100.3126302345903</x:v>
      </x:c>
    </x:row>
    <x:row r="36">
      <x:c r="A36" s="38" t="n">
        <x:v>46168</x:v>
      </x:c>
      <x:c r="B36" t="str">
        <x:v>2026-05</x:v>
      </x:c>
      <x:c r="C36" t="str">
        <x:v>Influencers</x:v>
      </x:c>
      <x:c r="D36" t="str">
        <x:v>Retargeting</x:v>
      </x:c>
      <x:c r="E36" s="76" t="n">
        <x:v>1174.05</x:v>
      </x:c>
      <x:c r="F36" s="88" t="n">
        <x:v>21660</x:v>
      </x:c>
      <x:c r="G36" s="88" t="n">
        <x:v>685</x:v>
      </x:c>
      <x:c r="H36" s="88" t="n">
        <x:v>84</x:v>
      </x:c>
      <x:c r="I36" s="88" t="n">
        <x:v>14</x:v>
      </x:c>
      <x:c r="J36" s="76" t="n">
        <x:v>5625.94</x:v>
      </x:c>
      <x:c r="K36" s="78" t="n">
        <x:f>G36/F36</x:f>
        <x:v>0.031625115420129274</x:v>
      </x:c>
      <x:c r="L36" s="78" t="n">
        <x:f>IFERROR(H36/G36,0)</x:f>
        <x:v>0.12262773722627737</x:v>
      </x:c>
      <x:c r="M36" s="76" t="n">
        <x:f>IFERROR(E36/H36,0)</x:f>
        <x:v>13.976785714285715</x:v>
      </x:c>
      <x:c r="N36" s="80" t="n">
        <x:f>IFERROR(J36/E36,0)</x:f>
        <x:v>4.791908351433073</x:v>
      </x:c>
    </x:row>
    <x:row r="37">
      <x:c r="A37" s="38" t="n">
        <x:v>46161</x:v>
      </x:c>
      <x:c r="B37" t="str">
        <x:v>2026-05</x:v>
      </x:c>
      <x:c r="C37" t="str">
        <x:v>Meta Ads</x:v>
      </x:c>
      <x:c r="D37" t="str">
        <x:v>Launch</x:v>
      </x:c>
      <x:c r="E37" s="76" t="n">
        <x:v>237.78</x:v>
      </x:c>
      <x:c r="F37" s="88" t="n">
        <x:v>10636</x:v>
      </x:c>
      <x:c r="G37" s="88" t="n">
        <x:v>688</x:v>
      </x:c>
      <x:c r="H37" s="88" t="n">
        <x:v>51</x:v>
      </x:c>
      <x:c r="I37" s="88" t="n">
        <x:v>9</x:v>
      </x:c>
      <x:c r="J37" s="76" t="n">
        <x:v>2113.05</x:v>
      </x:c>
      <x:c r="K37" s="78" t="n">
        <x:f>G37/F37</x:f>
        <x:v>0.06468597216998871</x:v>
      </x:c>
      <x:c r="L37" s="78" t="n">
        <x:f>IFERROR(H37/G37,0)</x:f>
        <x:v>0.07412790697674419</x:v>
      </x:c>
      <x:c r="M37" s="76" t="n">
        <x:f>IFERROR(E37/H37,0)</x:f>
        <x:v>4.66235294117647</x:v>
      </x:c>
      <x:c r="N37" s="80" t="n">
        <x:f>IFERROR(J37/E37,0)</x:f>
        <x:v>8.886575826394147</x:v>
      </x:c>
    </x:row>
    <x:row r="38">
      <x:c r="A38" s="38" t="n">
        <x:v>46159</x:v>
      </x:c>
      <x:c r="B38" t="str">
        <x:v>2026-05</x:v>
      </x:c>
      <x:c r="C38" t="str">
        <x:v>Email</x:v>
      </x:c>
      <x:c r="D38" t="str">
        <x:v>Brand</x:v>
      </x:c>
      <x:c r="E38" s="76" t="n">
        <x:v>189.58</x:v>
      </x:c>
      <x:c r="F38" s="88" t="n">
        <x:v>82830</x:v>
      </x:c>
      <x:c r="G38" s="88" t="n">
        <x:v>1394</x:v>
      </x:c>
      <x:c r="H38" s="88" t="n">
        <x:v>246</x:v>
      </x:c>
      <x:c r="I38" s="88" t="n">
        <x:v>56</x:v>
      </x:c>
      <x:c r="J38" s="76" t="n">
        <x:v>8972.3</x:v>
      </x:c>
      <x:c r="K38" s="78" t="n">
        <x:f>G38/F38</x:f>
        <x:v>0.0168296510925993</x:v>
      </x:c>
      <x:c r="L38" s="78" t="n">
        <x:f>IFERROR(H38/G38,0)</x:f>
        <x:v>0.17647058823529413</x:v>
      </x:c>
      <x:c r="M38" s="76" t="n">
        <x:f>IFERROR(E38/H38,0)</x:f>
        <x:v>0.7706504065040651</x:v>
      </x:c>
      <x:c r="N38" s="80" t="n">
        <x:f>IFERROR(J38/E38,0)</x:f>
        <x:v>47.327249709885</x:v>
      </x:c>
    </x:row>
    <x:row r="39">
      <x:c r="A39" s="38" t="n">
        <x:v>46163</x:v>
      </x:c>
      <x:c r="B39" t="str">
        <x:v>2026-05</x:v>
      </x:c>
      <x:c r="C39" t="str">
        <x:v>Meta Ads</x:v>
      </x:c>
      <x:c r="D39" t="str">
        <x:v>Seasonal</x:v>
      </x:c>
      <x:c r="E39" s="76" t="n">
        <x:v>876.92</x:v>
      </x:c>
      <x:c r="F39" s="88" t="n">
        <x:v>60005</x:v>
      </x:c>
      <x:c r="G39" s="88" t="n">
        <x:v>898</x:v>
      </x:c>
      <x:c r="H39" s="88" t="n">
        <x:v>154</x:v>
      </x:c>
      <x:c r="I39" s="88" t="n">
        <x:v>45</x:v>
      </x:c>
      <x:c r="J39" s="76" t="n">
        <x:v>9948.54</x:v>
      </x:c>
      <x:c r="K39" s="78" t="n">
        <x:f>G39/F39</x:f>
        <x:v>0.014965419548370969</x:v>
      </x:c>
      <x:c r="L39" s="78" t="n">
        <x:f>IFERROR(H39/G39,0)</x:f>
        <x:v>0.1714922048997773</x:v>
      </x:c>
      <x:c r="M39" s="76" t="n">
        <x:f>IFERROR(E39/H39,0)</x:f>
        <x:v>5.694285714285714</x:v>
      </x:c>
      <x:c r="N39" s="80" t="n">
        <x:f>IFERROR(J39/E39,0)</x:f>
        <x:v>11.344866122337272</x:v>
      </x:c>
    </x:row>
    <x:row r="40">
      <x:c r="A40" s="38" t="n">
        <x:v>46173</x:v>
      </x:c>
      <x:c r="B40" t="str">
        <x:v>2026-05</x:v>
      </x:c>
      <x:c r="C40" t="str">
        <x:v>Organic Search</x:v>
      </x:c>
      <x:c r="D40" t="str">
        <x:v>Seasonal</x:v>
      </x:c>
      <x:c r="E40" s="76" t="n">
        <x:v>138.86</x:v>
      </x:c>
      <x:c r="F40" s="88" t="n">
        <x:v>17551</x:v>
      </x:c>
      <x:c r="G40" s="88" t="n">
        <x:v>826</x:v>
      </x:c>
      <x:c r="H40" s="88" t="n">
        <x:v>135</x:v>
      </x:c>
      <x:c r="I40" s="88" t="n">
        <x:v>33</x:v>
      </x:c>
      <x:c r="J40" s="76" t="n">
        <x:v>2471.46</x:v>
      </x:c>
      <x:c r="K40" s="78" t="n">
        <x:f>G40/F40</x:f>
        <x:v>0.04706284542191328</x:v>
      </x:c>
      <x:c r="L40" s="78" t="n">
        <x:f>IFERROR(H40/G40,0)</x:f>
        <x:v>0.16343825665859565</x:v>
      </x:c>
      <x:c r="M40" s="76" t="n">
        <x:f>IFERROR(E40/H40,0)</x:f>
        <x:v>1.0285925925925927</x:v>
      </x:c>
      <x:c r="N40" s="80" t="n">
        <x:f>IFERROR(J40/E40,0)</x:f>
        <x:v>17.79821402851793</x:v>
      </x:c>
    </x:row>
    <x:row r="41">
      <x:c r="A41" s="38" t="n">
        <x:v>46196</x:v>
      </x:c>
      <x:c r="B41" t="str">
        <x:v>2026-06</x:v>
      </x:c>
      <x:c r="C41" t="str">
        <x:v>Google Ads</x:v>
      </x:c>
      <x:c r="D41" t="str">
        <x:v>Launch</x:v>
      </x:c>
      <x:c r="E41" s="76" t="n">
        <x:v>1086.99</x:v>
      </x:c>
      <x:c r="F41" s="88" t="n">
        <x:v>49871</x:v>
      </x:c>
      <x:c r="G41" s="88" t="n">
        <x:v>2703</x:v>
      </x:c>
      <x:c r="H41" s="88" t="n">
        <x:v>66</x:v>
      </x:c>
      <x:c r="I41" s="88" t="n">
        <x:v>20</x:v>
      </x:c>
      <x:c r="J41" s="76" t="n">
        <x:v>7975.05</x:v>
      </x:c>
      <x:c r="K41" s="78" t="n">
        <x:f>G41/F41</x:f>
        <x:v>0.054199835575785525</x:v>
      </x:c>
      <x:c r="L41" s="78" t="n">
        <x:f>IFERROR(H41/G41,0)</x:f>
        <x:v>0.0244173140954495</x:v>
      </x:c>
      <x:c r="M41" s="76" t="n">
        <x:f>IFERROR(E41/H41,0)</x:f>
        <x:v>16.469545454545454</x:v>
      </x:c>
      <x:c r="N41" s="80" t="n">
        <x:f>IFERROR(J41/E41,0)</x:f>
        <x:v>7.336820025943201</x:v>
      </x:c>
    </x:row>
    <x:row r="42">
      <x:c r="A42" s="38" t="n">
        <x:v>46111</x:v>
      </x:c>
      <x:c r="B42" t="str">
        <x:v>2026-03</x:v>
      </x:c>
      <x:c r="C42" t="str">
        <x:v>Meta Ads</x:v>
      </x:c>
      <x:c r="D42" t="str">
        <x:v>Launch</x:v>
      </x:c>
      <x:c r="E42" s="76" t="n">
        <x:v>363.89</x:v>
      </x:c>
      <x:c r="F42" s="88" t="n">
        <x:v>7044</x:v>
      </x:c>
      <x:c r="G42" s="88" t="n">
        <x:v>312</x:v>
      </x:c>
      <x:c r="H42" s="88" t="n">
        <x:v>49</x:v>
      </x:c>
      <x:c r="I42" s="88" t="n">
        <x:v>4</x:v>
      </x:c>
      <x:c r="J42" s="76" t="n">
        <x:v>1364.84</x:v>
      </x:c>
      <x:c r="K42" s="78" t="n">
        <x:f>G42/F42</x:f>
        <x:v>0.044293015332197615</x:v>
      </x:c>
      <x:c r="L42" s="78" t="n">
        <x:f>IFERROR(H42/G42,0)</x:f>
        <x:v>0.15705128205128205</x:v>
      </x:c>
      <x:c r="M42" s="76" t="n">
        <x:f>IFERROR(E42/H42,0)</x:f>
        <x:v>7.426326530612244</x:v>
      </x:c>
      <x:c r="N42" s="80" t="n">
        <x:f>IFERROR(J42/E42,0)</x:f>
        <x:v>3.7506938910110197</x:v>
      </x:c>
    </x:row>
    <x:row r="43">
      <x:c r="A43" s="38" t="n">
        <x:v>46079</x:v>
      </x:c>
      <x:c r="B43" t="str">
        <x:v>2026-02</x:v>
      </x:c>
      <x:c r="C43" t="str">
        <x:v>Organic Search</x:v>
      </x:c>
      <x:c r="D43" t="str">
        <x:v>Retargeting</x:v>
      </x:c>
      <x:c r="E43" s="76" t="n">
        <x:v>70.13</x:v>
      </x:c>
      <x:c r="F43" s="88" t="n">
        <x:v>36899</x:v>
      </x:c>
      <x:c r="G43" s="88" t="n">
        <x:v>2028</x:v>
      </x:c>
      <x:c r="H43" s="88" t="n">
        <x:v>352</x:v>
      </x:c>
      <x:c r="I43" s="88" t="n">
        <x:v>67</x:v>
      </x:c>
      <x:c r="J43" s="76" t="n">
        <x:v>22825.37</x:v>
      </x:c>
      <x:c r="K43" s="78" t="n">
        <x:f>G43/F43</x:f>
        <x:v>0.054960839047128646</x:v>
      </x:c>
      <x:c r="L43" s="78" t="n">
        <x:f>IFERROR(H43/G43,0)</x:f>
        <x:v>0.17357001972386588</x:v>
      </x:c>
      <x:c r="M43" s="76" t="n">
        <x:f>IFERROR(E43/H43,0)</x:f>
        <x:v>0.19923295454545453</x:v>
      </x:c>
      <x:c r="N43" s="80" t="n">
        <x:f>IFERROR(J43/E43,0)</x:f>
        <x:v>325.4722657921004</x:v>
      </x:c>
    </x:row>
    <x:row r="44">
      <x:c r="A44" s="38" t="n">
        <x:v>46178</x:v>
      </x:c>
      <x:c r="B44" t="str">
        <x:v>2026-06</x:v>
      </x:c>
      <x:c r="C44" t="str">
        <x:v>Organic Search</x:v>
      </x:c>
      <x:c r="D44" t="str">
        <x:v>Promo</x:v>
      </x:c>
      <x:c r="E44" s="76" t="n">
        <x:v>140.43</x:v>
      </x:c>
      <x:c r="F44" s="88" t="n">
        <x:v>87340</x:v>
      </x:c>
      <x:c r="G44" s="88" t="n">
        <x:v>3260</x:v>
      </x:c>
      <x:c r="H44" s="88" t="n">
        <x:v>436</x:v>
      </x:c>
      <x:c r="I44" s="88" t="n">
        <x:v>94</x:v>
      </x:c>
      <x:c r="J44" s="76" t="n">
        <x:v>35731.48</x:v>
      </x:c>
      <x:c r="K44" s="78" t="n">
        <x:f>G44/F44</x:f>
        <x:v>0.037325395008014656</x:v>
      </x:c>
      <x:c r="L44" s="78" t="n">
        <x:f>IFERROR(H44/G44,0)</x:f>
        <x:v>0.13374233128834356</x:v>
      </x:c>
      <x:c r="M44" s="76" t="n">
        <x:f>IFERROR(E44/H44,0)</x:f>
        <x:v>0.3220871559633028</x:v>
      </x:c>
      <x:c r="N44" s="80" t="n">
        <x:f>IFERROR(J44/E44,0)</x:f>
        <x:v>254.4433525599943</x:v>
      </x:c>
    </x:row>
    <x:row r="45">
      <x:c r="A45" s="38" t="n">
        <x:v>46186</x:v>
      </x:c>
      <x:c r="B45" t="str">
        <x:v>2026-06</x:v>
      </x:c>
      <x:c r="C45" t="str">
        <x:v>Google Ads</x:v>
      </x:c>
      <x:c r="D45" t="str">
        <x:v>Retargeting</x:v>
      </x:c>
      <x:c r="E45" s="76" t="n">
        <x:v>79.61</x:v>
      </x:c>
      <x:c r="F45" s="88" t="n">
        <x:v>38298</x:v>
      </x:c>
      <x:c r="G45" s="88" t="n">
        <x:v>1234</x:v>
      </x:c>
      <x:c r="H45" s="88" t="n">
        <x:v>121</x:v>
      </x:c>
      <x:c r="I45" s="88" t="n">
        <x:v>11</x:v>
      </x:c>
      <x:c r="J45" s="76" t="n">
        <x:v>1814.67</x:v>
      </x:c>
      <x:c r="K45" s="78" t="n">
        <x:f>G45/F45</x:f>
        <x:v>0.03222100370776542</x:v>
      </x:c>
      <x:c r="L45" s="78" t="n">
        <x:f>IFERROR(H45/G45,0)</x:f>
        <x:v>0.09805510534846029</x:v>
      </x:c>
      <x:c r="M45" s="76" t="n">
        <x:f>IFERROR(E45/H45,0)</x:f>
        <x:v>0.6579338842975206</x:v>
      </x:c>
      <x:c r="N45" s="80" t="n">
        <x:f>IFERROR(J45/E45,0)</x:f>
        <x:v>22.794498178620778</x:v>
      </x:c>
    </x:row>
    <x:row r="46">
      <x:c r="A46" s="38" t="n">
        <x:v>46139</x:v>
      </x:c>
      <x:c r="B46" t="str">
        <x:v>2026-04</x:v>
      </x:c>
      <x:c r="C46" t="str">
        <x:v>Influencers</x:v>
      </x:c>
      <x:c r="D46" t="str">
        <x:v>Retargeting</x:v>
      </x:c>
      <x:c r="E46" s="76" t="n">
        <x:v>912.49</x:v>
      </x:c>
      <x:c r="F46" s="88" t="n">
        <x:v>30112</x:v>
      </x:c>
      <x:c r="G46" s="88" t="n">
        <x:v>632</x:v>
      </x:c>
      <x:c r="H46" s="88" t="n">
        <x:v>78</x:v>
      </x:c>
      <x:c r="I46" s="88" t="n">
        <x:v>12</x:v>
      </x:c>
      <x:c r="J46" s="76" t="n">
        <x:v>833.18</x:v>
      </x:c>
      <x:c r="K46" s="78" t="n">
        <x:f>G46/F46</x:f>
        <x:v>0.020988310308182784</x:v>
      </x:c>
      <x:c r="L46" s="78" t="n">
        <x:f>IFERROR(H46/G46,0)</x:f>
        <x:v>0.12341772151898735</x:v>
      </x:c>
      <x:c r="M46" s="76" t="n">
        <x:f>IFERROR(E46/H46,0)</x:f>
        <x:v>11.698589743589745</x:v>
      </x:c>
      <x:c r="N46" s="80" t="n">
        <x:f>IFERROR(J46/E46,0)</x:f>
        <x:v>0.9130839790025096</x:v>
      </x:c>
    </x:row>
    <x:row r="47">
      <x:c r="A47" s="38" t="n">
        <x:v>46063</x:v>
      </x:c>
      <x:c r="B47" t="str">
        <x:v>2026-02</x:v>
      </x:c>
      <x:c r="C47" t="str">
        <x:v>TikTok Ads</x:v>
      </x:c>
      <x:c r="D47" t="str">
        <x:v>Brand</x:v>
      </x:c>
      <x:c r="E47" s="76" t="n">
        <x:v>827.48</x:v>
      </x:c>
      <x:c r="F47" s="88" t="n">
        <x:v>71093</x:v>
      </x:c>
      <x:c r="G47" s="88" t="n">
        <x:v>2640</x:v>
      </x:c>
      <x:c r="H47" s="88" t="n">
        <x:v>276</x:v>
      </x:c>
      <x:c r="I47" s="88" t="n">
        <x:v>69</x:v>
      </x:c>
      <x:c r="J47" s="76" t="n">
        <x:v>7548.37</x:v>
      </x:c>
      <x:c r="K47" s="78" t="n">
        <x:f>G47/F47</x:f>
        <x:v>0.03713445768219093</x:v>
      </x:c>
      <x:c r="L47" s="78" t="n">
        <x:f>IFERROR(H47/G47,0)</x:f>
        <x:v>0.10454545454545454</x:v>
      </x:c>
      <x:c r="M47" s="76" t="n">
        <x:f>IFERROR(E47/H47,0)</x:f>
        <x:v>2.998115942028986</x:v>
      </x:c>
      <x:c r="N47" s="80" t="n">
        <x:f>IFERROR(J47/E47,0)</x:f>
        <x:v>9.122117755111905</x:v>
      </x:c>
    </x:row>
    <x:row r="48">
      <x:c r="A48" s="38" t="n">
        <x:v>46102</x:v>
      </x:c>
      <x:c r="B48" t="str">
        <x:v>2026-03</x:v>
      </x:c>
      <x:c r="C48" t="str">
        <x:v>Influencers</x:v>
      </x:c>
      <x:c r="D48" t="str">
        <x:v>Promo</x:v>
      </x:c>
      <x:c r="E48" s="76" t="n">
        <x:v>1127.05</x:v>
      </x:c>
      <x:c r="F48" s="88" t="n">
        <x:v>74989</x:v>
      </x:c>
      <x:c r="G48" s="88" t="n">
        <x:v>504</x:v>
      </x:c>
      <x:c r="H48" s="88" t="n">
        <x:v>59</x:v>
      </x:c>
      <x:c r="I48" s="88" t="n">
        <x:v>9</x:v>
      </x:c>
      <x:c r="J48" s="76" t="n">
        <x:v>3535.56</x:v>
      </x:c>
      <x:c r="K48" s="78" t="n">
        <x:f>G48/F48</x:f>
        <x:v>0.006720985744575871</x:v>
      </x:c>
      <x:c r="L48" s="78" t="n">
        <x:f>IFERROR(H48/G48,0)</x:f>
        <x:v>0.11706349206349206</x:v>
      </x:c>
      <x:c r="M48" s="76" t="n">
        <x:f>IFERROR(E48/H48,0)</x:f>
        <x:v>19.102542372881356</x:v>
      </x:c>
      <x:c r="N48" s="80" t="n">
        <x:f>IFERROR(J48/E48,0)</x:f>
        <x:v>3.1370036821791403</x:v>
      </x:c>
    </x:row>
    <x:row r="49">
      <x:c r="A49" s="38" t="n">
        <x:v>46143</x:v>
      </x:c>
      <x:c r="B49" t="str">
        <x:v>2026-05</x:v>
      </x:c>
      <x:c r="C49" t="str">
        <x:v>TikTok Ads</x:v>
      </x:c>
      <x:c r="D49" t="str">
        <x:v>Launch</x:v>
      </x:c>
      <x:c r="E49" s="76" t="n">
        <x:v>538.88</x:v>
      </x:c>
      <x:c r="F49" s="88" t="n">
        <x:v>6287</x:v>
      </x:c>
      <x:c r="G49" s="88" t="n">
        <x:v>191</x:v>
      </x:c>
      <x:c r="H49" s="88" t="n">
        <x:v>14</x:v>
      </x:c>
      <x:c r="I49" s="88" t="n">
        <x:v>4</x:v>
      </x:c>
      <x:c r="J49" s="76" t="n">
        <x:v>1779.4</x:v>
      </x:c>
      <x:c r="K49" s="78" t="n">
        <x:f>G49/F49</x:f>
        <x:v>0.03038014951487196</x:v>
      </x:c>
      <x:c r="L49" s="78" t="n">
        <x:f>IFERROR(H49/G49,0)</x:f>
        <x:v>0.07329842931937172</x:v>
      </x:c>
      <x:c r="M49" s="76" t="n">
        <x:f>IFERROR(E49/H49,0)</x:f>
        <x:v>38.49142857142857</x:v>
      </x:c>
      <x:c r="N49" s="80" t="n">
        <x:f>IFERROR(J49/E49,0)</x:f>
        <x:v>3.3020338479809976</x:v>
      </x:c>
    </x:row>
    <x:row r="50">
      <x:c r="A50" s="38" t="n">
        <x:v>46085</x:v>
      </x:c>
      <x:c r="B50" t="str">
        <x:v>2026-03</x:v>
      </x:c>
      <x:c r="C50" t="str">
        <x:v>Organic Search</x:v>
      </x:c>
      <x:c r="D50" t="str">
        <x:v>Lead Magnet</x:v>
      </x:c>
      <x:c r="E50" s="76" t="n">
        <x:v>54.67</x:v>
      </x:c>
      <x:c r="F50" s="88" t="n">
        <x:v>70742</x:v>
      </x:c>
      <x:c r="G50" s="88" t="n">
        <x:v>2137</x:v>
      </x:c>
      <x:c r="H50" s="88" t="n">
        <x:v>314</x:v>
      </x:c>
      <x:c r="I50" s="88" t="n">
        <x:v>59</x:v>
      </x:c>
      <x:c r="J50" s="76" t="n">
        <x:v>4607</x:v>
      </x:c>
      <x:c r="K50" s="78" t="n">
        <x:f>G50/F50</x:f>
        <x:v>0.030208362783070878</x:v>
      </x:c>
      <x:c r="L50" s="78" t="n">
        <x:f>IFERROR(H50/G50,0)</x:f>
        <x:v>0.14693495554515676</x:v>
      </x:c>
      <x:c r="M50" s="76" t="n">
        <x:f>IFERROR(E50/H50,0)</x:f>
        <x:v>0.17410828025477706</x:v>
      </x:c>
      <x:c r="N50" s="80" t="n">
        <x:f>IFERROR(J50/E50,0)</x:f>
        <x:v>84.26925187488567</x:v>
      </x:c>
    </x:row>
    <x:row r="51">
      <x:c r="A51" s="38" t="n">
        <x:v>46193</x:v>
      </x:c>
      <x:c r="B51" t="str">
        <x:v>2026-06</x:v>
      </x:c>
      <x:c r="C51" t="str">
        <x:v>TikTok Ads</x:v>
      </x:c>
      <x:c r="D51" t="str">
        <x:v>Lead Magnet</x:v>
      </x:c>
      <x:c r="E51" s="76" t="n">
        <x:v>77.82</x:v>
      </x:c>
      <x:c r="F51" s="88" t="n">
        <x:v>59203</x:v>
      </x:c>
      <x:c r="G51" s="88" t="n">
        <x:v>781</x:v>
      </x:c>
      <x:c r="H51" s="88" t="n">
        <x:v>20</x:v>
      </x:c>
      <x:c r="I51" s="88" t="n">
        <x:v>5</x:v>
      </x:c>
      <x:c r="J51" s="76" t="n">
        <x:v>612.34</x:v>
      </x:c>
      <x:c r="K51" s="78" t="n">
        <x:f>G51/F51</x:f>
        <x:v>0.0131918990591693</x:v>
      </x:c>
      <x:c r="L51" s="78" t="n">
        <x:f>IFERROR(H51/G51,0)</x:f>
        <x:v>0.02560819462227913</x:v>
      </x:c>
      <x:c r="M51" s="76" t="n">
        <x:f>IFERROR(E51/H51,0)</x:f>
        <x:v>3.8909999999999996</x:v>
      </x:c>
      <x:c r="N51" s="80" t="n">
        <x:f>IFERROR(J51/E51,0)</x:f>
        <x:v>7.868671292726806</x:v>
      </x:c>
    </x:row>
    <x:row r="52">
      <x:c r="A52" s="38" t="n">
        <x:v>46100</x:v>
      </x:c>
      <x:c r="B52" t="str">
        <x:v>2026-03</x:v>
      </x:c>
      <x:c r="C52" t="str">
        <x:v>Meta Ads</x:v>
      </x:c>
      <x:c r="D52" t="str">
        <x:v>Launch</x:v>
      </x:c>
      <x:c r="E52" s="76" t="n">
        <x:v>1043.91</x:v>
      </x:c>
      <x:c r="F52" s="88" t="n">
        <x:v>65226</x:v>
      </x:c>
      <x:c r="G52" s="88" t="n">
        <x:v>3340</x:v>
      </x:c>
      <x:c r="H52" s="88" t="n">
        <x:v>592</x:v>
      </x:c>
      <x:c r="I52" s="88" t="n">
        <x:v>181</x:v>
      </x:c>
      <x:c r="J52" s="76" t="n">
        <x:v>28005.43</x:v>
      </x:c>
      <x:c r="K52" s="78" t="n">
        <x:f>G52/F52</x:f>
        <x:v>0.05120657406555668</x:v>
      </x:c>
      <x:c r="L52" s="78" t="n">
        <x:f>IFERROR(H52/G52,0)</x:f>
        <x:v>0.17724550898203592</x:v>
      </x:c>
      <x:c r="M52" s="76" t="n">
        <x:f>IFERROR(E52/H52,0)</x:f>
        <x:v>1.7633614864864866</x:v>
      </x:c>
      <x:c r="N52" s="80" t="n">
        <x:f>IFERROR(J52/E52,0)</x:f>
        <x:v>26.82743723117893</x:v>
      </x:c>
    </x:row>
    <x:row r="53">
      <x:c r="A53" s="38" t="n">
        <x:v>46032</x:v>
      </x:c>
      <x:c r="B53" t="str">
        <x:v>2026-01</x:v>
      </x:c>
      <x:c r="C53" t="str">
        <x:v>Influencers</x:v>
      </x:c>
      <x:c r="D53" t="str">
        <x:v>Seasonal</x:v>
      </x:c>
      <x:c r="E53" s="76" t="n">
        <x:v>430.58</x:v>
      </x:c>
      <x:c r="F53" s="88" t="n">
        <x:v>84266</x:v>
      </x:c>
      <x:c r="G53" s="88" t="n">
        <x:v>2459</x:v>
      </x:c>
      <x:c r="H53" s="88" t="n">
        <x:v>79</x:v>
      </x:c>
      <x:c r="I53" s="88" t="n">
        <x:v>8</x:v>
      </x:c>
      <x:c r="J53" s="76" t="n">
        <x:v>3281.56</x:v>
      </x:c>
      <x:c r="K53" s="78" t="n">
        <x:f>G53/F53</x:f>
        <x:v>0.029181401751596135</x:v>
      </x:c>
      <x:c r="L53" s="78" t="n">
        <x:f>IFERROR(H53/G53,0)</x:f>
        <x:v>0.032126880845872306</x:v>
      </x:c>
      <x:c r="M53" s="76" t="n">
        <x:f>IFERROR(E53/H53,0)</x:f>
        <x:v>5.450379746835443</x:v>
      </x:c>
      <x:c r="N53" s="80" t="n">
        <x:f>IFERROR(J53/E53,0)</x:f>
        <x:v>7.621255051326118</x:v>
      </x:c>
    </x:row>
    <x:row r="54">
      <x:c r="A54" s="38" t="n">
        <x:v>46178</x:v>
      </x:c>
      <x:c r="B54" t="str">
        <x:v>2026-06</x:v>
      </x:c>
      <x:c r="C54" t="str">
        <x:v>Meta Ads</x:v>
      </x:c>
      <x:c r="D54" t="str">
        <x:v>Seasonal</x:v>
      </x:c>
      <x:c r="E54" s="76" t="n">
        <x:v>126.94</x:v>
      </x:c>
      <x:c r="F54" s="88" t="n">
        <x:v>78271</x:v>
      </x:c>
      <x:c r="G54" s="88" t="n">
        <x:v>1903</x:v>
      </x:c>
      <x:c r="H54" s="88" t="n">
        <x:v>156</x:v>
      </x:c>
      <x:c r="I54" s="88" t="n">
        <x:v>27</x:v>
      </x:c>
      <x:c r="J54" s="76" t="n">
        <x:v>8384.47</x:v>
      </x:c>
      <x:c r="K54" s="78" t="n">
        <x:f>G54/F54</x:f>
        <x:v>0.024312963933002005</x:v>
      </x:c>
      <x:c r="L54" s="78" t="n">
        <x:f>IFERROR(H54/G54,0)</x:f>
        <x:v>0.08197582764056753</x:v>
      </x:c>
      <x:c r="M54" s="76" t="n">
        <x:f>IFERROR(E54/H54,0)</x:f>
        <x:v>0.8137179487179487</x:v>
      </x:c>
      <x:c r="N54" s="80" t="n">
        <x:f>IFERROR(J54/E54,0)</x:f>
        <x:v>66.05065385221364</x:v>
      </x:c>
    </x:row>
    <x:row r="55">
      <x:c r="A55" s="38" t="n">
        <x:v>46035</x:v>
      </x:c>
      <x:c r="B55" t="str">
        <x:v>2026-01</x:v>
      </x:c>
      <x:c r="C55" t="str">
        <x:v>Google Ads</x:v>
      </x:c>
      <x:c r="D55" t="str">
        <x:v>Launch</x:v>
      </x:c>
      <x:c r="E55" s="76" t="n">
        <x:v>361.32</x:v>
      </x:c>
      <x:c r="F55" s="88" t="n">
        <x:v>60100</x:v>
      </x:c>
      <x:c r="G55" s="88" t="n">
        <x:v>2926</x:v>
      </x:c>
      <x:c r="H55" s="88" t="n">
        <x:v>91</x:v>
      </x:c>
      <x:c r="I55" s="88" t="n">
        <x:v>23</x:v>
      </x:c>
      <x:c r="J55" s="76" t="n">
        <x:v>8735.8</x:v>
      </x:c>
      <x:c r="K55" s="78" t="n">
        <x:f>G55/F55</x:f>
        <x:v>0.04868552412645591</x:v>
      </x:c>
      <x:c r="L55" s="78" t="n">
        <x:f>IFERROR(H55/G55,0)</x:f>
        <x:v>0.03110047846889952</x:v>
      </x:c>
      <x:c r="M55" s="76" t="n">
        <x:f>IFERROR(E55/H55,0)</x:f>
        <x:v>3.9705494505494503</x:v>
      </x:c>
      <x:c r="N55" s="80" t="n">
        <x:f>IFERROR(J55/E55,0)</x:f>
        <x:v>24.177460422893834</x:v>
      </x:c>
    </x:row>
    <x:row r="56">
      <x:c r="A56" s="38" t="n">
        <x:v>46095</x:v>
      </x:c>
      <x:c r="B56" t="str">
        <x:v>2026-03</x:v>
      </x:c>
      <x:c r="C56" t="str">
        <x:v>Influencers</x:v>
      </x:c>
      <x:c r="D56" t="str">
        <x:v>Launch</x:v>
      </x:c>
      <x:c r="E56" s="76" t="n">
        <x:v>983.57</x:v>
      </x:c>
      <x:c r="F56" s="88" t="n">
        <x:v>22374</x:v>
      </x:c>
      <x:c r="G56" s="88" t="n">
        <x:v>171</x:v>
      </x:c>
      <x:c r="H56" s="88" t="n">
        <x:v>24</x:v>
      </x:c>
      <x:c r="I56" s="88" t="n">
        <x:v>2</x:v>
      </x:c>
      <x:c r="J56" s="76" t="n">
        <x:v>649.36</x:v>
      </x:c>
      <x:c r="K56" s="78" t="n">
        <x:f>G56/F56</x:f>
        <x:v>0.007642799678197908</x:v>
      </x:c>
      <x:c r="L56" s="78" t="n">
        <x:f>IFERROR(H56/G56,0)</x:f>
        <x:v>0.14035087719298245</x:v>
      </x:c>
      <x:c r="M56" s="76" t="n">
        <x:f>IFERROR(E56/H56,0)</x:f>
        <x:v>40.982083333333335</x:v>
      </x:c>
      <x:c r="N56" s="80" t="n">
        <x:f>IFERROR(J56/E56,0)</x:f>
        <x:v>0.6602072043677624</x:v>
      </x:c>
    </x:row>
    <x:row r="57">
      <x:c r="A57" s="38" t="n">
        <x:v>46144</x:v>
      </x:c>
      <x:c r="B57" t="str">
        <x:v>2026-05</x:v>
      </x:c>
      <x:c r="C57" t="str">
        <x:v>TikTok Ads</x:v>
      </x:c>
      <x:c r="D57" t="str">
        <x:v>Seasonal</x:v>
      </x:c>
      <x:c r="E57" s="76" t="n">
        <x:v>613.43</x:v>
      </x:c>
      <x:c r="F57" s="88" t="n">
        <x:v>24114</x:v>
      </x:c>
      <x:c r="G57" s="88" t="n">
        <x:v>1636</x:v>
      </x:c>
      <x:c r="H57" s="88" t="n">
        <x:v>125</x:v>
      </x:c>
      <x:c r="I57" s="88" t="n">
        <x:v>41</x:v>
      </x:c>
      <x:c r="J57" s="76" t="n">
        <x:v>6352.92</x:v>
      </x:c>
      <x:c r="K57" s="78" t="n">
        <x:f>G57/F57</x:f>
        <x:v>0.06784440573940449</x:v>
      </x:c>
      <x:c r="L57" s="78" t="n">
        <x:f>IFERROR(H57/G57,0)</x:f>
        <x:v>0.07640586797066015</x:v>
      </x:c>
      <x:c r="M57" s="76" t="n">
        <x:f>IFERROR(E57/H57,0)</x:f>
        <x:v>4.907439999999999</x:v>
      </x:c>
      <x:c r="N57" s="80" t="n">
        <x:f>IFERROR(J57/E57,0)</x:f>
        <x:v>10.356389482092498</x:v>
      </x:c>
    </x:row>
    <x:row r="58">
      <x:c r="A58" s="38" t="n">
        <x:v>46055</x:v>
      </x:c>
      <x:c r="B58" t="str">
        <x:v>2026-02</x:v>
      </x:c>
      <x:c r="C58" t="str">
        <x:v>Email</x:v>
      </x:c>
      <x:c r="D58" t="str">
        <x:v>Retargeting</x:v>
      </x:c>
      <x:c r="E58" s="76" t="n">
        <x:v>16.05</x:v>
      </x:c>
      <x:c r="F58" s="88" t="n">
        <x:v>33732</x:v>
      </x:c>
      <x:c r="G58" s="88" t="n">
        <x:v>1804</x:v>
      </x:c>
      <x:c r="H58" s="88" t="n">
        <x:v>89</x:v>
      </x:c>
      <x:c r="I58" s="88" t="n">
        <x:v>16</x:v>
      </x:c>
      <x:c r="J58" s="76" t="n">
        <x:v>2532.65</x:v>
      </x:c>
      <x:c r="K58" s="78" t="n">
        <x:f>G58/F58</x:f>
        <x:v>0.05348037471836831</x:v>
      </x:c>
      <x:c r="L58" s="78" t="n">
        <x:f>IFERROR(H58/G58,0)</x:f>
        <x:v>0.04933481152993348</x:v>
      </x:c>
      <x:c r="M58" s="76" t="n">
        <x:f>IFERROR(E58/H58,0)</x:f>
        <x:v>0.1803370786516854</x:v>
      </x:c>
      <x:c r="N58" s="80" t="n">
        <x:f>IFERROR(J58/E58,0)</x:f>
        <x:v>157.797507788162</x:v>
      </x:c>
    </x:row>
    <x:row r="59">
      <x:c r="A59" s="38" t="n">
        <x:v>46177</x:v>
      </x:c>
      <x:c r="B59" t="str">
        <x:v>2026-06</x:v>
      </x:c>
      <x:c r="C59" t="str">
        <x:v>TikTok Ads</x:v>
      </x:c>
      <x:c r="D59" t="str">
        <x:v>Promo</x:v>
      </x:c>
      <x:c r="E59" s="76" t="n">
        <x:v>1089.37</x:v>
      </x:c>
      <x:c r="F59" s="88" t="n">
        <x:v>3324</x:v>
      </x:c>
      <x:c r="G59" s="88" t="n">
        <x:v>178</x:v>
      </x:c>
      <x:c r="H59" s="88" t="n">
        <x:v>12</x:v>
      </x:c>
      <x:c r="I59" s="88" t="n">
        <x:v>3</x:v>
      </x:c>
      <x:c r="J59" s="76" t="n">
        <x:v>376.66</x:v>
      </x:c>
      <x:c r="K59" s="78" t="n">
        <x:f>G59/F59</x:f>
        <x:v>0.05354993983152828</x:v>
      </x:c>
      <x:c r="L59" s="78" t="n">
        <x:f>IFERROR(H59/G59,0)</x:f>
        <x:v>0.06741573033707865</x:v>
      </x:c>
      <x:c r="M59" s="76" t="n">
        <x:f>IFERROR(E59/H59,0)</x:f>
        <x:v>90.78083333333332</x:v>
      </x:c>
      <x:c r="N59" s="80" t="n">
        <x:f>IFERROR(J59/E59,0)</x:f>
        <x:v>0.34575947566024406</x:v>
      </x:c>
    </x:row>
    <x:row r="60">
      <x:c r="A60" s="38" t="n">
        <x:v>46168</x:v>
      </x:c>
      <x:c r="B60" t="str">
        <x:v>2026-05</x:v>
      </x:c>
      <x:c r="C60" t="str">
        <x:v>TikTok Ads</x:v>
      </x:c>
      <x:c r="D60" t="str">
        <x:v>Seasonal</x:v>
      </x:c>
      <x:c r="E60" s="76" t="n">
        <x:v>780.87</x:v>
      </x:c>
      <x:c r="F60" s="88" t="n">
        <x:v>56695</x:v>
      </x:c>
      <x:c r="G60" s="88" t="n">
        <x:v>3393</x:v>
      </x:c>
      <x:c r="H60" s="88" t="n">
        <x:v>71</x:v>
      </x:c>
      <x:c r="I60" s="88" t="n">
        <x:v>19</x:v>
      </x:c>
      <x:c r="J60" s="76" t="n">
        <x:v>8379.45</x:v>
      </x:c>
      <x:c r="K60" s="78" t="n">
        <x:f>G60/F60</x:f>
        <x:v>0.059846547314578</x:v>
      </x:c>
      <x:c r="L60" s="78" t="n">
        <x:f>IFERROR(H60/G60,0)</x:f>
        <x:v>0.020925434718538166</x:v>
      </x:c>
      <x:c r="M60" s="76" t="n">
        <x:f>IFERROR(E60/H60,0)</x:f>
        <x:v>10.998169014084507</x:v>
      </x:c>
      <x:c r="N60" s="80" t="n">
        <x:f>IFERROR(J60/E60,0)</x:f>
        <x:v>10.730915517307619</x:v>
      </x:c>
    </x:row>
    <x:row r="61">
      <x:c r="A61" s="38" t="n">
        <x:v>46099</x:v>
      </x:c>
      <x:c r="B61" t="str">
        <x:v>2026-03</x:v>
      </x:c>
      <x:c r="C61" t="str">
        <x:v>Organic Search</x:v>
      </x:c>
      <x:c r="D61" t="str">
        <x:v>Lead Magnet</x:v>
      </x:c>
      <x:c r="E61" s="76" t="n">
        <x:v>12.17</x:v>
      </x:c>
      <x:c r="F61" s="88" t="n">
        <x:v>15130</x:v>
      </x:c>
      <x:c r="G61" s="88" t="n">
        <x:v>905</x:v>
      </x:c>
      <x:c r="H61" s="88" t="n">
        <x:v>41</x:v>
      </x:c>
      <x:c r="I61" s="88" t="n">
        <x:v>11</x:v>
      </x:c>
      <x:c r="J61" s="76" t="n">
        <x:v>1196.38</x:v>
      </x:c>
      <x:c r="K61" s="78" t="n">
        <x:f>G61/F61</x:f>
        <x:v>0.05981493721083939</x:v>
      </x:c>
      <x:c r="L61" s="78" t="n">
        <x:f>IFERROR(H61/G61,0)</x:f>
        <x:v>0.045303867403314914</x:v>
      </x:c>
      <x:c r="M61" s="76" t="n">
        <x:f>IFERROR(E61/H61,0)</x:f>
        <x:v>0.2968292682926829</x:v>
      </x:c>
      <x:c r="N61" s="80" t="n">
        <x:f>IFERROR(J61/E61,0)</x:f>
        <x:v>98.30566967953986</x:v>
      </x:c>
    </x:row>
    <x:row r="62">
      <x:c r="A62" s="38" t="n">
        <x:v>46126</x:v>
      </x:c>
      <x:c r="B62" t="str">
        <x:v>2026-04</x:v>
      </x:c>
      <x:c r="C62" t="str">
        <x:v>Email</x:v>
      </x:c>
      <x:c r="D62" t="str">
        <x:v>Promo</x:v>
      </x:c>
      <x:c r="E62" s="76" t="n">
        <x:v>45.29</x:v>
      </x:c>
      <x:c r="F62" s="88" t="n">
        <x:v>35955</x:v>
      </x:c>
      <x:c r="G62" s="88" t="n">
        <x:v>635</x:v>
      </x:c>
      <x:c r="H62" s="88" t="n">
        <x:v>99</x:v>
      </x:c>
      <x:c r="I62" s="88" t="n">
        <x:v>25</x:v>
      </x:c>
      <x:c r="J62" s="76" t="n">
        <x:v>3806.03</x:v>
      </x:c>
      <x:c r="K62" s="78" t="n">
        <x:f>G62/F62</x:f>
        <x:v>0.017660965095257962</x:v>
      </x:c>
      <x:c r="L62" s="78" t="n">
        <x:f>IFERROR(H62/G62,0)</x:f>
        <x:v>0.15590551181102363</x:v>
      </x:c>
      <x:c r="M62" s="76" t="n">
        <x:f>IFERROR(E62/H62,0)</x:f>
        <x:v>0.4574747474747475</x:v>
      </x:c>
      <x:c r="N62" s="80" t="n">
        <x:f>IFERROR(J62/E62,0)</x:f>
        <x:v>84.03687348200486</x:v>
      </x:c>
    </x:row>
    <x:row r="63">
      <x:c r="A63" s="38" t="n">
        <x:v>46042</x:v>
      </x:c>
      <x:c r="B63" t="str">
        <x:v>2026-01</x:v>
      </x:c>
      <x:c r="C63" t="str">
        <x:v>Email</x:v>
      </x:c>
      <x:c r="D63" t="str">
        <x:v>Lead Magnet</x:v>
      </x:c>
      <x:c r="E63" s="76" t="n">
        <x:v>79.92</x:v>
      </x:c>
      <x:c r="F63" s="88" t="n">
        <x:v>58486</x:v>
      </x:c>
      <x:c r="G63" s="88" t="n">
        <x:v>1797</x:v>
      </x:c>
      <x:c r="H63" s="88" t="n">
        <x:v>223</x:v>
      </x:c>
      <x:c r="I63" s="88" t="n">
        <x:v>47</x:v>
      </x:c>
      <x:c r="J63" s="76" t="n">
        <x:v>14654.45</x:v>
      </x:c>
      <x:c r="K63" s="78" t="n">
        <x:f>G63/F63</x:f>
        <x:v>0.030725301781622954</x:v>
      </x:c>
      <x:c r="L63" s="78" t="n">
        <x:f>IFERROR(H63/G63,0)</x:f>
        <x:v>0.12409571508069003</x:v>
      </x:c>
      <x:c r="M63" s="76" t="n">
        <x:f>IFERROR(E63/H63,0)</x:f>
        <x:v>0.35838565022421526</x:v>
      </x:c>
      <x:c r="N63" s="80" t="n">
        <x:f>IFERROR(J63/E63,0)</x:f>
        <x:v>183.363988988989</x:v>
      </x:c>
    </x:row>
    <x:row r="64">
      <x:c r="A64" s="38" t="n">
        <x:v>46034</x:v>
      </x:c>
      <x:c r="B64" t="str">
        <x:v>2026-01</x:v>
      </x:c>
      <x:c r="C64" t="str">
        <x:v>Influencers</x:v>
      </x:c>
      <x:c r="D64" t="str">
        <x:v>Promo</x:v>
      </x:c>
      <x:c r="E64" s="76" t="n">
        <x:v>100.38</x:v>
      </x:c>
      <x:c r="F64" s="88" t="n">
        <x:v>11622</x:v>
      </x:c>
      <x:c r="G64" s="88" t="n">
        <x:v>175</x:v>
      </x:c>
      <x:c r="H64" s="88" t="n">
        <x:v>28</x:v>
      </x:c>
      <x:c r="I64" s="88" t="n">
        <x:v>2</x:v>
      </x:c>
      <x:c r="J64" s="76" t="n">
        <x:v>467.69</x:v>
      </x:c>
      <x:c r="K64" s="78" t="n">
        <x:f>G64/F64</x:f>
        <x:v>0.015057649285837206</x:v>
      </x:c>
      <x:c r="L64" s="78" t="n">
        <x:f>IFERROR(H64/G64,0)</x:f>
        <x:v>0.16</x:v>
      </x:c>
      <x:c r="M64" s="76" t="n">
        <x:f>IFERROR(E64/H64,0)</x:f>
        <x:v>3.585</x:v>
      </x:c>
      <x:c r="N64" s="80" t="n">
        <x:f>IFERROR(J64/E64,0)</x:f>
        <x:v>4.659195058776649</x:v>
      </x:c>
    </x:row>
    <x:row r="65">
      <x:c r="A65" s="38" t="n">
        <x:v>46184</x:v>
      </x:c>
      <x:c r="B65" t="str">
        <x:v>2026-06</x:v>
      </x:c>
      <x:c r="C65" t="str">
        <x:v>Google Ads</x:v>
      </x:c>
      <x:c r="D65" t="str">
        <x:v>Lead Magnet</x:v>
      </x:c>
      <x:c r="E65" s="76" t="n">
        <x:v>610.9</x:v>
      </x:c>
      <x:c r="F65" s="88" t="n">
        <x:v>64629</x:v>
      </x:c>
      <x:c r="G65" s="88" t="n">
        <x:v>2815</x:v>
      </x:c>
      <x:c r="H65" s="88" t="n">
        <x:v>270</x:v>
      </x:c>
      <x:c r="I65" s="88" t="n">
        <x:v>84</x:v>
      </x:c>
      <x:c r="J65" s="76" t="n">
        <x:v>10017.79</x:v>
      </x:c>
      <x:c r="K65" s="78" t="n">
        <x:f>G65/F65</x:f>
        <x:v>0.043556298256200776</x:v>
      </x:c>
      <x:c r="L65" s="78" t="n">
        <x:f>IFERROR(H65/G65,0)</x:f>
        <x:v>0.09591474245115453</x:v>
      </x:c>
      <x:c r="M65" s="76" t="n">
        <x:f>IFERROR(E65/H65,0)</x:f>
        <x:v>2.2625925925925925</x:v>
      </x:c>
      <x:c r="N65" s="80" t="n">
        <x:f>IFERROR(J65/E65,0)</x:f>
        <x:v>16.39841217875266</x:v>
      </x:c>
    </x:row>
    <x:row r="66">
      <x:c r="A66" s="38" t="n">
        <x:v>46201</x:v>
      </x:c>
      <x:c r="B66" t="str">
        <x:v>2026-06</x:v>
      </x:c>
      <x:c r="C66" t="str">
        <x:v>Email</x:v>
      </x:c>
      <x:c r="D66" t="str">
        <x:v>Retargeting</x:v>
      </x:c>
      <x:c r="E66" s="76" t="n">
        <x:v>90.68</x:v>
      </x:c>
      <x:c r="F66" s="88" t="n">
        <x:v>52827</x:v>
      </x:c>
      <x:c r="G66" s="88" t="n">
        <x:v>3581</x:v>
      </x:c>
      <x:c r="H66" s="88" t="n">
        <x:v>419</x:v>
      </x:c>
      <x:c r="I66" s="88" t="n">
        <x:v>143</x:v>
      </x:c>
      <x:c r="J66" s="76" t="n">
        <x:v>42553.28</x:v>
      </x:c>
      <x:c r="K66" s="78" t="n">
        <x:f>G66/F66</x:f>
        <x:v>0.06778730573381037</x:v>
      </x:c>
      <x:c r="L66" s="78" t="n">
        <x:f>IFERROR(H66/G66,0)</x:f>
        <x:v>0.11700642278693102</x:v>
      </x:c>
      <x:c r="M66" s="76" t="n">
        <x:f>IFERROR(E66/H66,0)</x:f>
        <x:v>0.2164200477326969</x:v>
      </x:c>
      <x:c r="N66" s="80" t="n">
        <x:f>IFERROR(J66/E66,0)</x:f>
        <x:v>469.26863696515215</x:v>
      </x:c>
    </x:row>
    <x:row r="67">
      <x:c r="A67" s="38" t="n">
        <x:v>46181</x:v>
      </x:c>
      <x:c r="B67" t="str">
        <x:v>2026-06</x:v>
      </x:c>
      <x:c r="C67" t="str">
        <x:v>Email</x:v>
      </x:c>
      <x:c r="D67" t="str">
        <x:v>Brand</x:v>
      </x:c>
      <x:c r="E67" s="76" t="n">
        <x:v>33.88</x:v>
      </x:c>
      <x:c r="F67" s="88" t="n">
        <x:v>53599</x:v>
      </x:c>
      <x:c r="G67" s="88" t="n">
        <x:v>2324</x:v>
      </x:c>
      <x:c r="H67" s="88" t="n">
        <x:v>162</x:v>
      </x:c>
      <x:c r="I67" s="88" t="n">
        <x:v>17</x:v>
      </x:c>
      <x:c r="J67" s="76" t="n">
        <x:v>5997.82</x:v>
      </x:c>
      <x:c r="K67" s="78" t="n">
        <x:f>G67/F67</x:f>
        <x:v>0.04335901789212485</x:v>
      </x:c>
      <x:c r="L67" s="78" t="n">
        <x:f>IFERROR(H67/G67,0)</x:f>
        <x:v>0.06970740103270223</x:v>
      </x:c>
      <x:c r="M67" s="76" t="n">
        <x:f>IFERROR(E67/H67,0)</x:f>
        <x:v>0.20913580246913582</x:v>
      </x:c>
      <x:c r="N67" s="80" t="n">
        <x:f>IFERROR(J67/E67,0)</x:f>
        <x:v>177.03128689492323</x:v>
      </x:c>
    </x:row>
    <x:row r="68">
      <x:c r="A68" s="38" t="n">
        <x:v>46048</x:v>
      </x:c>
      <x:c r="B68" t="str">
        <x:v>2026-01</x:v>
      </x:c>
      <x:c r="C68" t="str">
        <x:v>Organic Search</x:v>
      </x:c>
      <x:c r="D68" t="str">
        <x:v>Retargeting</x:v>
      </x:c>
      <x:c r="E68" s="76" t="n">
        <x:v>176.71</x:v>
      </x:c>
      <x:c r="F68" s="88" t="n">
        <x:v>47220</x:v>
      </x:c>
      <x:c r="G68" s="88" t="n">
        <x:v>467</x:v>
      </x:c>
      <x:c r="H68" s="88" t="n">
        <x:v>43</x:v>
      </x:c>
      <x:c r="I68" s="88" t="n">
        <x:v>11</x:v>
      </x:c>
      <x:c r="J68" s="76" t="n">
        <x:v>1277.67</x:v>
      </x:c>
      <x:c r="K68" s="78" t="n">
        <x:f>G68/F68</x:f>
        <x:v>0.009889877170690385</x:v>
      </x:c>
      <x:c r="L68" s="78" t="n">
        <x:f>IFERROR(H68/G68,0)</x:f>
        <x:v>0.09207708779443255</x:v>
      </x:c>
      <x:c r="M68" s="76" t="n">
        <x:f>IFERROR(E68/H68,0)</x:f>
        <x:v>4.10953488372093</x:v>
      </x:c>
      <x:c r="N68" s="80" t="n">
        <x:f>IFERROR(J68/E68,0)</x:f>
        <x:v>7.2303208646935655</x:v>
      </x:c>
    </x:row>
    <x:row r="69">
      <x:c r="A69" s="38" t="n">
        <x:v>46073</x:v>
      </x:c>
      <x:c r="B69" t="str">
        <x:v>2026-02</x:v>
      </x:c>
      <x:c r="C69" t="str">
        <x:v>Influencers</x:v>
      </x:c>
      <x:c r="D69" t="str">
        <x:v>Retargeting</x:v>
      </x:c>
      <x:c r="E69" s="76" t="n">
        <x:v>344.29</x:v>
      </x:c>
      <x:c r="F69" s="88" t="n">
        <x:v>18995</x:v>
      </x:c>
      <x:c r="G69" s="88" t="n">
        <x:v>1032</x:v>
      </x:c>
      <x:c r="H69" s="88" t="n">
        <x:v>97</x:v>
      </x:c>
      <x:c r="I69" s="88" t="n">
        <x:v>28</x:v>
      </x:c>
      <x:c r="J69" s="76" t="n">
        <x:v>5119.34</x:v>
      </x:c>
      <x:c r="K69" s="78" t="n">
        <x:f>G69/F69</x:f>
        <x:v>0.05433008686496447</x:v>
      </x:c>
      <x:c r="L69" s="78" t="n">
        <x:f>IFERROR(H69/G69,0)</x:f>
        <x:v>0.0939922480620155</x:v>
      </x:c>
      <x:c r="M69" s="76" t="n">
        <x:f>IFERROR(E69/H69,0)</x:f>
        <x:v>3.5493814432989694</x:v>
      </x:c>
      <x:c r="N69" s="80" t="n">
        <x:f>IFERROR(J69/E69,0)</x:f>
        <x:v>14.869267187545383</x:v>
      </x:c>
    </x:row>
    <x:row r="70">
      <x:c r="A70" s="38" t="n">
        <x:v>46104</x:v>
      </x:c>
      <x:c r="B70" t="str">
        <x:v>2026-03</x:v>
      </x:c>
      <x:c r="C70" t="str">
        <x:v>Meta Ads</x:v>
      </x:c>
      <x:c r="D70" t="str">
        <x:v>Lead Magnet</x:v>
      </x:c>
      <x:c r="E70" s="76" t="n">
        <x:v>706.89</x:v>
      </x:c>
      <x:c r="F70" s="88" t="n">
        <x:v>50117</x:v>
      </x:c>
      <x:c r="G70" s="88" t="n">
        <x:v>1141</x:v>
      </x:c>
      <x:c r="H70" s="88" t="n">
        <x:v>148</x:v>
      </x:c>
      <x:c r="I70" s="88" t="n">
        <x:v>17</x:v>
      </x:c>
      <x:c r="J70" s="76" t="n">
        <x:v>6772.58</x:v>
      </x:c>
      <x:c r="K70" s="78" t="n">
        <x:f>G70/F70</x:f>
        <x:v>0.02276672586148413</x:v>
      </x:c>
      <x:c r="L70" s="78" t="n">
        <x:f>IFERROR(H70/G70,0)</x:f>
        <x:v>0.12971078001752848</x:v>
      </x:c>
      <x:c r="M70" s="76" t="n">
        <x:f>IFERROR(E70/H70,0)</x:f>
        <x:v>4.776283783783784</x:v>
      </x:c>
      <x:c r="N70" s="80" t="n">
        <x:f>IFERROR(J70/E70,0)</x:f>
        <x:v>9.580811724596472</x:v>
      </x:c>
    </x:row>
    <x:row r="71">
      <x:c r="A71" s="38" t="n">
        <x:v>46051</x:v>
      </x:c>
      <x:c r="B71" t="str">
        <x:v>2026-01</x:v>
      </x:c>
      <x:c r="C71" t="str">
        <x:v>Organic Search</x:v>
      </x:c>
      <x:c r="D71" t="str">
        <x:v>Seasonal</x:v>
      </x:c>
      <x:c r="E71" s="76" t="n">
        <x:v>175.29</x:v>
      </x:c>
      <x:c r="F71" s="88" t="n">
        <x:v>48634</x:v>
      </x:c>
      <x:c r="G71" s="88" t="n">
        <x:v>2058</x:v>
      </x:c>
      <x:c r="H71" s="88" t="n">
        <x:v>227</x:v>
      </x:c>
      <x:c r="I71" s="88" t="n">
        <x:v>64</x:v>
      </x:c>
      <x:c r="J71" s="76" t="n">
        <x:v>8253.66</x:v>
      </x:c>
      <x:c r="K71" s="78" t="n">
        <x:f>G71/F71</x:f>
        <x:v>0.04231607517374676</x:v>
      </x:c>
      <x:c r="L71" s="78" t="n">
        <x:f>IFERROR(H71/G71,0)</x:f>
        <x:v>0.11030126336248786</x:v>
      </x:c>
      <x:c r="M71" s="76" t="n">
        <x:f>IFERROR(E71/H71,0)</x:f>
        <x:v>0.7722026431718061</x:v>
      </x:c>
      <x:c r="N71" s="80" t="n">
        <x:f>IFERROR(J71/E71,0)</x:f>
        <x:v>47.08574362485025</x:v>
      </x:c>
    </x:row>
    <x:row r="72">
      <x:c r="A72" s="38" t="n">
        <x:v>46066</x:v>
      </x:c>
      <x:c r="B72" t="str">
        <x:v>2026-02</x:v>
      </x:c>
      <x:c r="C72" t="str">
        <x:v>Organic Search</x:v>
      </x:c>
      <x:c r="D72" t="str">
        <x:v>Retargeting</x:v>
      </x:c>
      <x:c r="E72" s="76" t="n">
        <x:v>46.97</x:v>
      </x:c>
      <x:c r="F72" s="88" t="n">
        <x:v>43114</x:v>
      </x:c>
      <x:c r="G72" s="88" t="n">
        <x:v>710</x:v>
      </x:c>
      <x:c r="H72" s="88" t="n">
        <x:v>57</x:v>
      </x:c>
      <x:c r="I72" s="88" t="n">
        <x:v>19</x:v>
      </x:c>
      <x:c r="J72" s="76" t="n">
        <x:v>7746.96</x:v>
      </x:c>
      <x:c r="K72" s="78" t="n">
        <x:f>G72/F72</x:f>
        <x:v>0.016467968641276615</x:v>
      </x:c>
      <x:c r="L72" s="78" t="n">
        <x:f>IFERROR(H72/G72,0)</x:f>
        <x:v>0.08028169014084507</x:v>
      </x:c>
      <x:c r="M72" s="76" t="n">
        <x:f>IFERROR(E72/H72,0)</x:f>
        <x:v>0.8240350877192982</x:v>
      </x:c>
      <x:c r="N72" s="80" t="n">
        <x:f>IFERROR(J72/E72,0)</x:f>
        <x:v>164.93421332765595</x:v>
      </x:c>
    </x:row>
    <x:row r="73">
      <x:c r="A73" s="38" t="n">
        <x:v>46027</x:v>
      </x:c>
      <x:c r="B73" t="str">
        <x:v>2026-01</x:v>
      </x:c>
      <x:c r="C73" t="str">
        <x:v>Google Ads</x:v>
      </x:c>
      <x:c r="D73" t="str">
        <x:v>Lead Magnet</x:v>
      </x:c>
      <x:c r="E73" s="76" t="n">
        <x:v>450.2</x:v>
      </x:c>
      <x:c r="F73" s="88" t="n">
        <x:v>57933</x:v>
      </x:c>
      <x:c r="G73" s="88" t="n">
        <x:v>3208</x:v>
      </x:c>
      <x:c r="H73" s="88" t="n">
        <x:v>84</x:v>
      </x:c>
      <x:c r="I73" s="88" t="n">
        <x:v>19</x:v>
      </x:c>
      <x:c r="J73" s="76" t="n">
        <x:v>3562.14</x:v>
      </x:c>
      <x:c r="K73" s="78" t="n">
        <x:f>G73/F73</x:f>
        <x:v>0.05537431170490049</x:v>
      </x:c>
      <x:c r="L73" s="78" t="n">
        <x:f>IFERROR(H73/G73,0)</x:f>
        <x:v>0.026184538653366583</x:v>
      </x:c>
      <x:c r="M73" s="76" t="n">
        <x:f>IFERROR(E73/H73,0)</x:f>
        <x:v>5.359523809523809</x:v>
      </x:c>
      <x:c r="N73" s="80" t="n">
        <x:f>IFERROR(J73/E73,0)</x:f>
        <x:v>7.9123500666370505</x:v>
      </x:c>
    </x:row>
    <x:row r="74">
      <x:c r="A74" s="38" t="n">
        <x:v>46049</x:v>
      </x:c>
      <x:c r="B74" t="str">
        <x:v>2026-01</x:v>
      </x:c>
      <x:c r="C74" t="str">
        <x:v>Google Ads</x:v>
      </x:c>
      <x:c r="D74" t="str">
        <x:v>Retargeting</x:v>
      </x:c>
      <x:c r="E74" s="76" t="n">
        <x:v>420.83</x:v>
      </x:c>
      <x:c r="F74" s="88" t="n">
        <x:v>48634</x:v>
      </x:c>
      <x:c r="G74" s="88" t="n">
        <x:v>2983</x:v>
      </x:c>
      <x:c r="H74" s="88" t="n">
        <x:v>397</x:v>
      </x:c>
      <x:c r="I74" s="88" t="n">
        <x:v>64</x:v>
      </x:c>
      <x:c r="J74" s="76" t="n">
        <x:v>9632.54</x:v>
      </x:c>
      <x:c r="K74" s="78" t="n">
        <x:f>G74/F74</x:f>
        <x:v>0.061335691080314184</x:v>
      </x:c>
      <x:c r="L74" s="78" t="n">
        <x:f>IFERROR(H74/G74,0)</x:f>
        <x:v>0.13308749580958767</x:v>
      </x:c>
      <x:c r="M74" s="76" t="n">
        <x:f>IFERROR(E74/H74,0)</x:f>
        <x:v>1.0600251889168766</x:v>
      </x:c>
      <x:c r="N74" s="80" t="n">
        <x:f>IFERROR(J74/E74,0)</x:f>
        <x:v>22.889385262457527</x:v>
      </x:c>
    </x:row>
    <x:row r="75">
      <x:c r="A75" s="38" t="n">
        <x:v>46155</x:v>
      </x:c>
      <x:c r="B75" t="str">
        <x:v>2026-05</x:v>
      </x:c>
      <x:c r="C75" t="str">
        <x:v>Organic Search</x:v>
      </x:c>
      <x:c r="D75" t="str">
        <x:v>Lead Magnet</x:v>
      </x:c>
      <x:c r="E75" s="76" t="n">
        <x:v>122.82</x:v>
      </x:c>
      <x:c r="F75" s="88" t="n">
        <x:v>24483</x:v>
      </x:c>
      <x:c r="G75" s="88" t="n">
        <x:v>529</x:v>
      </x:c>
      <x:c r="H75" s="88" t="n">
        <x:v>11</x:v>
      </x:c>
      <x:c r="I75" s="88" t="n">
        <x:v>1</x:v>
      </x:c>
      <x:c r="J75" s="76" t="n">
        <x:v>431.97</x:v>
      </x:c>
      <x:c r="K75" s="78" t="n">
        <x:f>G75/F75</x:f>
        <x:v>0.021606829228444226</x:v>
      </x:c>
      <x:c r="L75" s="78" t="n">
        <x:f>IFERROR(H75/G75,0)</x:f>
        <x:v>0.020793950850661626</x:v>
      </x:c>
      <x:c r="M75" s="76" t="n">
        <x:f>IFERROR(E75/H75,0)</x:f>
        <x:v>11.165454545454544</x:v>
      </x:c>
      <x:c r="N75" s="80" t="n">
        <x:f>IFERROR(J75/E75,0)</x:f>
        <x:v>3.5170981924767957</x:v>
      </x:c>
    </x:row>
    <x:row r="76">
      <x:c r="A76" s="38" t="n">
        <x:v>46159</x:v>
      </x:c>
      <x:c r="B76" t="str">
        <x:v>2026-05</x:v>
      </x:c>
      <x:c r="C76" t="str">
        <x:v>Email</x:v>
      </x:c>
      <x:c r="D76" t="str">
        <x:v>Launch</x:v>
      </x:c>
      <x:c r="E76" s="76" t="n">
        <x:v>122.2</x:v>
      </x:c>
      <x:c r="F76" s="88" t="n">
        <x:v>24234</x:v>
      </x:c>
      <x:c r="G76" s="88" t="n">
        <x:v>664</x:v>
      </x:c>
      <x:c r="H76" s="88" t="n">
        <x:v>16</x:v>
      </x:c>
      <x:c r="I76" s="88" t="n">
        <x:v>2</x:v>
      </x:c>
      <x:c r="J76" s="76" t="n">
        <x:v>882.34</x:v>
      </x:c>
      <x:c r="K76" s="78" t="n">
        <x:f>G76/F76</x:f>
        <x:v>0.027399521333663447</x:v>
      </x:c>
      <x:c r="L76" s="78" t="n">
        <x:f>IFERROR(H76/G76,0)</x:f>
        <x:v>0.024096385542168676</x:v>
      </x:c>
      <x:c r="M76" s="76" t="n">
        <x:f>IFERROR(E76/H76,0)</x:f>
        <x:v>7.6375</x:v>
      </x:c>
      <x:c r="N76" s="80" t="n">
        <x:f>IFERROR(J76/E76,0)</x:f>
        <x:v>7.220458265139117</x:v>
      </x:c>
    </x:row>
    <x:row r="77">
      <x:c r="A77" s="38" t="n">
        <x:v>46078</x:v>
      </x:c>
      <x:c r="B77" t="str">
        <x:v>2026-02</x:v>
      </x:c>
      <x:c r="C77" t="str">
        <x:v>Organic Search</x:v>
      </x:c>
      <x:c r="D77" t="str">
        <x:v>Lead Magnet</x:v>
      </x:c>
      <x:c r="E77" s="76" t="n">
        <x:v>24.46</x:v>
      </x:c>
      <x:c r="F77" s="88" t="n">
        <x:v>81539</x:v>
      </x:c>
      <x:c r="G77" s="88" t="n">
        <x:v>1588</x:v>
      </x:c>
      <x:c r="H77" s="88" t="n">
        <x:v>219</x:v>
      </x:c>
      <x:c r="I77" s="88" t="n">
        <x:v>52</x:v>
      </x:c>
      <x:c r="J77" s="76" t="n">
        <x:v>15083.85</x:v>
      </x:c>
      <x:c r="K77" s="78" t="n">
        <x:f>G77/F77</x:f>
        <x:v>0.01947534308735697</x:v>
      </x:c>
      <x:c r="L77" s="78" t="n">
        <x:f>IFERROR(H77/G77,0)</x:f>
        <x:v>0.13790931989924432</x:v>
      </x:c>
      <x:c r="M77" s="76" t="n">
        <x:f>IFERROR(E77/H77,0)</x:f>
        <x:v>0.11168949771689499</x:v>
      </x:c>
      <x:c r="N77" s="80" t="n">
        <x:f>IFERROR(J77/E77,0)</x:f>
        <x:v>616.6741618969746</x:v>
      </x:c>
    </x:row>
    <x:row r="78">
      <x:c r="A78" s="38" t="n">
        <x:v>46029</x:v>
      </x:c>
      <x:c r="B78" t="str">
        <x:v>2026-01</x:v>
      </x:c>
      <x:c r="C78" t="str">
        <x:v>Influencers</x:v>
      </x:c>
      <x:c r="D78" t="str">
        <x:v>Promo</x:v>
      </x:c>
      <x:c r="E78" s="76" t="n">
        <x:v>114.7</x:v>
      </x:c>
      <x:c r="F78" s="88" t="n">
        <x:v>59887</x:v>
      </x:c>
      <x:c r="G78" s="88" t="n">
        <x:v>3427</x:v>
      </x:c>
      <x:c r="H78" s="88" t="n">
        <x:v>100</x:v>
      </x:c>
      <x:c r="I78" s="88" t="n">
        <x:v>24</x:v>
      </x:c>
      <x:c r="J78" s="76" t="n">
        <x:v>10369.04</x:v>
      </x:c>
      <x:c r="K78" s="78" t="n">
        <x:f>G78/F78</x:f>
        <x:v>0.057224439360796166</x:v>
      </x:c>
      <x:c r="L78" s="78" t="n">
        <x:f>IFERROR(H78/G78,0)</x:f>
        <x:v>0.029180040852057193</x:v>
      </x:c>
      <x:c r="M78" s="76" t="n">
        <x:f>IFERROR(E78/H78,0)</x:f>
        <x:v>1.147</x:v>
      </x:c>
      <x:c r="N78" s="80" t="n">
        <x:f>IFERROR(J78/E78,0)</x:f>
        <x:v>90.40139494333043</x:v>
      </x:c>
    </x:row>
    <x:row r="79">
      <x:c r="A79" s="38" t="n">
        <x:v>46171</x:v>
      </x:c>
      <x:c r="B79" t="str">
        <x:v>2026-05</x:v>
      </x:c>
      <x:c r="C79" t="str">
        <x:v>Influencers</x:v>
      </x:c>
      <x:c r="D79" t="str">
        <x:v>Promo</x:v>
      </x:c>
      <x:c r="E79" s="76" t="n">
        <x:v>795.42</x:v>
      </x:c>
      <x:c r="F79" s="88" t="n">
        <x:v>48471</x:v>
      </x:c>
      <x:c r="G79" s="88" t="n">
        <x:v>2277</x:v>
      </x:c>
      <x:c r="H79" s="88" t="n">
        <x:v>345</x:v>
      </x:c>
      <x:c r="I79" s="88" t="n">
        <x:v>73</x:v>
      </x:c>
      <x:c r="J79" s="76" t="n">
        <x:v>31652.2</x:v>
      </x:c>
      <x:c r="K79" s="78" t="n">
        <x:f>G79/F79</x:f>
        <x:v>0.04697654267500155</x:v>
      </x:c>
      <x:c r="L79" s="78" t="n">
        <x:f>IFERROR(H79/G79,0)</x:f>
        <x:v>0.15151515151515152</x:v>
      </x:c>
      <x:c r="M79" s="76" t="n">
        <x:f>IFERROR(E79/H79,0)</x:f>
        <x:v>2.305565217391304</x:v>
      </x:c>
      <x:c r="N79" s="80" t="n">
        <x:f>IFERROR(J79/E79,0)</x:f>
        <x:v>39.793065298835835</x:v>
      </x:c>
    </x:row>
    <x:row r="80">
      <x:c r="A80" s="38" t="n">
        <x:v>46163</x:v>
      </x:c>
      <x:c r="B80" t="str">
        <x:v>2026-05</x:v>
      </x:c>
      <x:c r="C80" t="str">
        <x:v>Google Ads</x:v>
      </x:c>
      <x:c r="D80" t="str">
        <x:v>Seasonal</x:v>
      </x:c>
      <x:c r="E80" s="76" t="n">
        <x:v>302.41</x:v>
      </x:c>
      <x:c r="F80" s="88" t="n">
        <x:v>67826</x:v>
      </x:c>
      <x:c r="G80" s="88" t="n">
        <x:v>2456</x:v>
      </x:c>
      <x:c r="H80" s="88" t="n">
        <x:v>263</x:v>
      </x:c>
      <x:c r="I80" s="88" t="n">
        <x:v>89</x:v>
      </x:c>
      <x:c r="J80" s="76" t="n">
        <x:v>15129.47</x:v>
      </x:c>
      <x:c r="K80" s="78" t="n">
        <x:f>G80/F80</x:f>
        <x:v>0.036210302833721585</x:v>
      </x:c>
      <x:c r="L80" s="78" t="n">
        <x:f>IFERROR(H80/G80,0)</x:f>
        <x:v>0.10708469055374593</x:v>
      </x:c>
      <x:c r="M80" s="76" t="n">
        <x:f>IFERROR(E80/H80,0)</x:f>
        <x:v>1.1498479087452473</x:v>
      </x:c>
      <x:c r="N80" s="80" t="n">
        <x:f>IFERROR(J80/E80,0)</x:f>
        <x:v>50.02966171753579</x:v>
      </x:c>
    </x:row>
    <x:row r="81">
      <x:c r="A81" s="38" t="n">
        <x:v>46200</x:v>
      </x:c>
      <x:c r="B81" t="str">
        <x:v>2026-06</x:v>
      </x:c>
      <x:c r="C81" t="str">
        <x:v>TikTok Ads</x:v>
      </x:c>
      <x:c r="D81" t="str">
        <x:v>Promo</x:v>
      </x:c>
      <x:c r="E81" s="76" t="n">
        <x:v>599.7</x:v>
      </x:c>
      <x:c r="F81" s="88" t="n">
        <x:v>28317</x:v>
      </x:c>
      <x:c r="G81" s="88" t="n">
        <x:v>363</x:v>
      </x:c>
      <x:c r="H81" s="88" t="n">
        <x:v>62</x:v>
      </x:c>
      <x:c r="I81" s="88" t="n">
        <x:v>6</x:v>
      </x:c>
      <x:c r="J81" s="76" t="n">
        <x:v>936.21</x:v>
      </x:c>
      <x:c r="K81" s="78" t="n">
        <x:f>G81/F81</x:f>
        <x:v>0.012819154571458841</x:v>
      </x:c>
      <x:c r="L81" s="78" t="n">
        <x:f>IFERROR(H81/G81,0)</x:f>
        <x:v>0.17079889807162535</x:v>
      </x:c>
      <x:c r="M81" s="76" t="n">
        <x:f>IFERROR(E81/H81,0)</x:f>
        <x:v>9.672580645161291</x:v>
      </x:c>
      <x:c r="N81" s="80" t="n">
        <x:f>IFERROR(J81/E81,0)</x:f>
        <x:v>1.5611305652826413</x:v>
      </x:c>
    </x:row>
    <x:row r="82">
      <x:c r="A82" s="38" t="n">
        <x:v>46194</x:v>
      </x:c>
      <x:c r="B82" t="str">
        <x:v>2026-06</x:v>
      </x:c>
      <x:c r="C82" t="str">
        <x:v>Email</x:v>
      </x:c>
      <x:c r="D82" t="str">
        <x:v>Retargeting</x:v>
      </x:c>
      <x:c r="E82" s="76" t="n">
        <x:v>37.06</x:v>
      </x:c>
      <x:c r="F82" s="88" t="n">
        <x:v>76332</x:v>
      </x:c>
      <x:c r="G82" s="88" t="n">
        <x:v>2534</x:v>
      </x:c>
      <x:c r="H82" s="88" t="n">
        <x:v>96</x:v>
      </x:c>
      <x:c r="I82" s="88" t="n">
        <x:v>31</x:v>
      </x:c>
      <x:c r="J82" s="76" t="n">
        <x:v>4715.71</x:v>
      </x:c>
      <x:c r="K82" s="78" t="n">
        <x:f>G82/F82</x:f>
        <x:v>0.03319708641198973</x:v>
      </x:c>
      <x:c r="L82" s="78" t="n">
        <x:f>IFERROR(H82/G82,0)</x:f>
        <x:v>0.037884767166535126</x:v>
      </x:c>
      <x:c r="M82" s="76" t="n">
        <x:f>IFERROR(E82/H82,0)</x:f>
        <x:v>0.38604166666666667</x:v>
      </x:c>
      <x:c r="N82" s="80" t="n">
        <x:f>IFERROR(J82/E82,0)</x:f>
        <x:v>127.24527792768482</x:v>
      </x:c>
    </x:row>
    <x:row r="83">
      <x:c r="A83" s="38" t="n">
        <x:v>46173</x:v>
      </x:c>
      <x:c r="B83" t="str">
        <x:v>2026-05</x:v>
      </x:c>
      <x:c r="C83" t="str">
        <x:v>Influencers</x:v>
      </x:c>
      <x:c r="D83" t="str">
        <x:v>Brand</x:v>
      </x:c>
      <x:c r="E83" s="76" t="n">
        <x:v>521.63</x:v>
      </x:c>
      <x:c r="F83" s="88" t="n">
        <x:v>3963</x:v>
      </x:c>
      <x:c r="G83" s="88" t="n">
        <x:v>204</x:v>
      </x:c>
      <x:c r="H83" s="88" t="n">
        <x:v>24</x:v>
      </x:c>
      <x:c r="I83" s="88" t="n">
        <x:v>7</x:v>
      </x:c>
      <x:c r="J83" s="76" t="n">
        <x:v>3145.85</x:v>
      </x:c>
      <x:c r="K83" s="78" t="n">
        <x:f>G83/F83</x:f>
        <x:v>0.05147615442846329</x:v>
      </x:c>
      <x:c r="L83" s="78" t="n">
        <x:f>IFERROR(H83/G83,0)</x:f>
        <x:v>0.11764705882352941</x:v>
      </x:c>
      <x:c r="M83" s="76" t="n">
        <x:f>IFERROR(E83/H83,0)</x:f>
        <x:v>21.734583333333333</x:v>
      </x:c>
      <x:c r="N83" s="80" t="n">
        <x:f>IFERROR(J83/E83,0)</x:f>
        <x:v>6.030807277188812</x:v>
      </x:c>
    </x:row>
    <x:row r="84">
      <x:c r="A84" s="38" t="n">
        <x:v>46072</x:v>
      </x:c>
      <x:c r="B84" t="str">
        <x:v>2026-02</x:v>
      </x:c>
      <x:c r="C84" t="str">
        <x:v>Influencers</x:v>
      </x:c>
      <x:c r="D84" t="str">
        <x:v>Brand</x:v>
      </x:c>
      <x:c r="E84" s="76" t="n">
        <x:v>1057.72</x:v>
      </x:c>
      <x:c r="F84" s="88" t="n">
        <x:v>24589</x:v>
      </x:c>
      <x:c r="G84" s="88" t="n">
        <x:v>1128</x:v>
      </x:c>
      <x:c r="H84" s="88" t="n">
        <x:v>40</x:v>
      </x:c>
      <x:c r="I84" s="88" t="n">
        <x:v>6</x:v>
      </x:c>
      <x:c r="J84" s="76" t="n">
        <x:v>879.05</x:v>
      </x:c>
      <x:c r="K84" s="78" t="n">
        <x:f>G84/F84</x:f>
        <x:v>0.0458741713774452</x:v>
      </x:c>
      <x:c r="L84" s="78" t="n">
        <x:f>IFERROR(H84/G84,0)</x:f>
        <x:v>0.03546099290780142</x:v>
      </x:c>
      <x:c r="M84" s="76" t="n">
        <x:f>IFERROR(E84/H84,0)</x:f>
        <x:v>26.443</x:v>
      </x:c>
      <x:c r="N84" s="80" t="n">
        <x:f>IFERROR(J84/E84,0)</x:f>
        <x:v>0.831080058994819</x:v>
      </x:c>
    </x:row>
    <x:row r="85">
      <x:c r="A85" s="38" t="n">
        <x:v>46180</x:v>
      </x:c>
      <x:c r="B85" t="str">
        <x:v>2026-06</x:v>
      </x:c>
      <x:c r="C85" t="str">
        <x:v>Meta Ads</x:v>
      </x:c>
      <x:c r="D85" t="str">
        <x:v>Retargeting</x:v>
      </x:c>
      <x:c r="E85" s="76" t="n">
        <x:v>389.35</x:v>
      </x:c>
      <x:c r="F85" s="88" t="n">
        <x:v>15073</x:v>
      </x:c>
      <x:c r="G85" s="88" t="n">
        <x:v>167</x:v>
      </x:c>
      <x:c r="H85" s="88" t="n">
        <x:v>25</x:v>
      </x:c>
      <x:c r="I85" s="88" t="n">
        <x:v>2</x:v>
      </x:c>
      <x:c r="J85" s="76" t="n">
        <x:v>364.53</x:v>
      </x:c>
      <x:c r="K85" s="78" t="n">
        <x:f>G85/F85</x:f>
        <x:v>0.011079413520865123</x:v>
      </x:c>
      <x:c r="L85" s="78" t="n">
        <x:f>IFERROR(H85/G85,0)</x:f>
        <x:v>0.1497005988023952</x:v>
      </x:c>
      <x:c r="M85" s="76" t="n">
        <x:f>IFERROR(E85/H85,0)</x:f>
        <x:v>15.574000000000002</x:v>
      </x:c>
      <x:c r="N85" s="80" t="n">
        <x:f>IFERROR(J85/E85,0)</x:f>
        <x:v>0.9362527289071528</x:v>
      </x:c>
    </x:row>
    <x:row r="86">
      <x:c r="A86" s="38" t="n">
        <x:v>46105</x:v>
      </x:c>
      <x:c r="B86" t="str">
        <x:v>2026-03</x:v>
      </x:c>
      <x:c r="C86" t="str">
        <x:v>Google Ads</x:v>
      </x:c>
      <x:c r="D86" t="str">
        <x:v>Retargeting</x:v>
      </x:c>
      <x:c r="E86" s="76" t="n">
        <x:v>883.44</x:v>
      </x:c>
      <x:c r="F86" s="88" t="n">
        <x:v>4637</x:v>
      </x:c>
      <x:c r="G86" s="88" t="n">
        <x:v>321</x:v>
      </x:c>
      <x:c r="H86" s="88" t="n">
        <x:v>52</x:v>
      </x:c>
      <x:c r="I86" s="88" t="n">
        <x:v>16</x:v>
      </x:c>
      <x:c r="J86" s="76" t="n">
        <x:v>6657.75</x:v>
      </x:c>
      <x:c r="K86" s="78" t="n">
        <x:f>G86/F86</x:f>
        <x:v>0.06922579253827905</x:v>
      </x:c>
      <x:c r="L86" s="78" t="n">
        <x:f>IFERROR(H86/G86,0)</x:f>
        <x:v>0.16199376947040497</x:v>
      </x:c>
      <x:c r="M86" s="76" t="n">
        <x:f>IFERROR(E86/H86,0)</x:f>
        <x:v>16.98923076923077</x:v>
      </x:c>
      <x:c r="N86" s="80" t="n">
        <x:f>IFERROR(J86/E86,0)</x:f>
        <x:v>7.536165444172779</x:v>
      </x:c>
    </x:row>
    <x:row r="87">
      <x:c r="A87" s="38" t="n">
        <x:v>46125</x:v>
      </x:c>
      <x:c r="B87" t="str">
        <x:v>2026-04</x:v>
      </x:c>
      <x:c r="C87" t="str">
        <x:v>TikTok Ads</x:v>
      </x:c>
      <x:c r="D87" t="str">
        <x:v>Launch</x:v>
      </x:c>
      <x:c r="E87" s="76" t="n">
        <x:v>902.54</x:v>
      </x:c>
      <x:c r="F87" s="88" t="n">
        <x:v>63355</x:v>
      </x:c>
      <x:c r="G87" s="88" t="n">
        <x:v>2863</x:v>
      </x:c>
      <x:c r="H87" s="88" t="n">
        <x:v>461</x:v>
      </x:c>
      <x:c r="I87" s="88" t="n">
        <x:v>86</x:v>
      </x:c>
      <x:c r="J87" s="76" t="n">
        <x:v>23941.57</x:v>
      </x:c>
      <x:c r="K87" s="78" t="n">
        <x:f>G87/F87</x:f>
        <x:v>0.045189803488280327</x:v>
      </x:c>
      <x:c r="L87" s="78" t="n">
        <x:f>IFERROR(H87/G87,0)</x:f>
        <x:v>0.16101990918616835</x:v>
      </x:c>
      <x:c r="M87" s="76" t="n">
        <x:f>IFERROR(E87/H87,0)</x:f>
        <x:v>1.9577874186550976</x:v>
      </x:c>
      <x:c r="N87" s="80" t="n">
        <x:f>IFERROR(J87/E87,0)</x:f>
        <x:v>26.526879695082766</x:v>
      </x:c>
    </x:row>
    <x:row r="88">
      <x:c r="A88" s="38" t="n">
        <x:v>46191</x:v>
      </x:c>
      <x:c r="B88" t="str">
        <x:v>2026-06</x:v>
      </x:c>
      <x:c r="C88" t="str">
        <x:v>Meta Ads</x:v>
      </x:c>
      <x:c r="D88" t="str">
        <x:v>Promo</x:v>
      </x:c>
      <x:c r="E88" s="76" t="n">
        <x:v>684.85</x:v>
      </x:c>
      <x:c r="F88" s="88" t="n">
        <x:v>67321</x:v>
      </x:c>
      <x:c r="G88" s="88" t="n">
        <x:v>353</x:v>
      </x:c>
      <x:c r="H88" s="88" t="n">
        <x:v>14</x:v>
      </x:c>
      <x:c r="I88" s="88" t="n">
        <x:v>4</x:v>
      </x:c>
      <x:c r="J88" s="76" t="n">
        <x:v>570.22</x:v>
      </x:c>
      <x:c r="K88" s="78" t="n">
        <x:f>G88/F88</x:f>
        <x:v>0.005243534706852245</x:v>
      </x:c>
      <x:c r="L88" s="78" t="n">
        <x:f>IFERROR(H88/G88,0)</x:f>
        <x:v>0.039660056657223795</x:v>
      </x:c>
      <x:c r="M88" s="76" t="n">
        <x:f>IFERROR(E88/H88,0)</x:f>
        <x:v>48.917857142857144</x:v>
      </x:c>
      <x:c r="N88" s="80" t="n">
        <x:f>IFERROR(J88/E88,0)</x:f>
        <x:v>0.8326202818135359</x:v>
      </x:c>
    </x:row>
    <x:row r="89">
      <x:c r="A89" s="38" t="n">
        <x:v>46200</x:v>
      </x:c>
      <x:c r="B89" t="str">
        <x:v>2026-06</x:v>
      </x:c>
      <x:c r="C89" t="str">
        <x:v>TikTok Ads</x:v>
      </x:c>
      <x:c r="D89" t="str">
        <x:v>Seasonal</x:v>
      </x:c>
      <x:c r="E89" s="76" t="n">
        <x:v>333.18</x:v>
      </x:c>
      <x:c r="F89" s="88" t="n">
        <x:v>24266</x:v>
      </x:c>
      <x:c r="G89" s="88" t="n">
        <x:v>227</x:v>
      </x:c>
      <x:c r="H89" s="88" t="n">
        <x:v>38</x:v>
      </x:c>
      <x:c r="I89" s="88" t="n">
        <x:v>3</x:v>
      </x:c>
      <x:c r="J89" s="76" t="n">
        <x:v>595.4</x:v>
      </x:c>
      <x:c r="K89" s="78" t="n">
        <x:f>G89/F89</x:f>
        <x:v>0.009354652600346163</x:v>
      </x:c>
      <x:c r="L89" s="78" t="n">
        <x:f>IFERROR(H89/G89,0)</x:f>
        <x:v>0.16740088105726872</x:v>
      </x:c>
      <x:c r="M89" s="76" t="n">
        <x:f>IFERROR(E89/H89,0)</x:f>
        <x:v>8.767894736842106</x:v>
      </x:c>
      <x:c r="N89" s="80" t="n">
        <x:f>IFERROR(J89/E89,0)</x:f>
        <x:v>1.7870220301338615</x:v>
      </x:c>
    </x:row>
    <x:row r="90">
      <x:c r="A90" s="38" t="n">
        <x:v>46160</x:v>
      </x:c>
      <x:c r="B90" t="str">
        <x:v>2026-05</x:v>
      </x:c>
      <x:c r="C90" t="str">
        <x:v>Influencers</x:v>
      </x:c>
      <x:c r="D90" t="str">
        <x:v>Brand</x:v>
      </x:c>
      <x:c r="E90" s="76" t="n">
        <x:v>75.96</x:v>
      </x:c>
      <x:c r="F90" s="88" t="n">
        <x:v>48341</x:v>
      </x:c>
      <x:c r="G90" s="88" t="n">
        <x:v>2210</x:v>
      </x:c>
      <x:c r="H90" s="88" t="n">
        <x:v>225</x:v>
      </x:c>
      <x:c r="I90" s="88" t="n">
        <x:v>70</x:v>
      </x:c>
      <x:c r="J90" s="76" t="n">
        <x:v>16279.55</x:v>
      </x:c>
      <x:c r="K90" s="78" t="n">
        <x:f>G90/F90</x:f>
        <x:v>0.04571688628700275</x:v>
      </x:c>
      <x:c r="L90" s="78" t="n">
        <x:f>IFERROR(H90/G90,0)</x:f>
        <x:v>0.10180995475113122</x:v>
      </x:c>
      <x:c r="M90" s="76" t="n">
        <x:f>IFERROR(E90/H90,0)</x:f>
        <x:v>0.33759999999999996</x:v>
      </x:c>
      <x:c r="N90" s="80" t="n">
        <x:f>IFERROR(J90/E90,0)</x:f>
        <x:v>214.3174038967878</x:v>
      </x:c>
    </x:row>
    <x:row r="91">
      <x:c r="A91" s="38" t="n">
        <x:v>46126</x:v>
      </x:c>
      <x:c r="B91" t="str">
        <x:v>2026-04</x:v>
      </x:c>
      <x:c r="C91" t="str">
        <x:v>Meta Ads</x:v>
      </x:c>
      <x:c r="D91" t="str">
        <x:v>Brand</x:v>
      </x:c>
      <x:c r="E91" s="76" t="n">
        <x:v>905.86</x:v>
      </x:c>
      <x:c r="F91" s="88" t="n">
        <x:v>41457</x:v>
      </x:c>
      <x:c r="G91" s="88" t="n">
        <x:v>1471</x:v>
      </x:c>
      <x:c r="H91" s="88" t="n">
        <x:v>55</x:v>
      </x:c>
      <x:c r="I91" s="88" t="n">
        <x:v>11</x:v>
      </x:c>
      <x:c r="J91" s="76" t="n">
        <x:v>3398.01</x:v>
      </x:c>
      <x:c r="K91" s="78" t="n">
        <x:f>G91/F91</x:f>
        <x:v>0.03548254818245411</x:v>
      </x:c>
      <x:c r="L91" s="78" t="n">
        <x:f>IFERROR(H91/G91,0)</x:f>
        <x:v>0.037389530931339225</x:v>
      </x:c>
      <x:c r="M91" s="76" t="n">
        <x:f>IFERROR(E91/H91,0)</x:f>
        <x:v>16.470181818181818</x:v>
      </x:c>
      <x:c r="N91" s="80" t="n">
        <x:f>IFERROR(J91/E91,0)</x:f>
        <x:v>3.751142560660588</x:v>
      </x:c>
    </x:row>
    <x:row r="92">
      <x:c r="A92" s="38" t="n">
        <x:v>46154</x:v>
      </x:c>
      <x:c r="B92" t="str">
        <x:v>2026-05</x:v>
      </x:c>
      <x:c r="C92" t="str">
        <x:v>TikTok Ads</x:v>
      </x:c>
      <x:c r="D92" t="str">
        <x:v>Promo</x:v>
      </x:c>
      <x:c r="E92" s="76" t="n">
        <x:v>636.75</x:v>
      </x:c>
      <x:c r="F92" s="88" t="n">
        <x:v>44748</x:v>
      </x:c>
      <x:c r="G92" s="88" t="n">
        <x:v>1495</x:v>
      </x:c>
      <x:c r="H92" s="88" t="n">
        <x:v>112</x:v>
      </x:c>
      <x:c r="I92" s="88" t="n">
        <x:v>16</x:v>
      </x:c>
      <x:c r="J92" s="76" t="n">
        <x:v>4248.78</x:v>
      </x:c>
      <x:c r="K92" s="78" t="n">
        <x:f>G92/F92</x:f>
        <x:v>0.03340931438276571</x:v>
      </x:c>
      <x:c r="L92" s="78" t="n">
        <x:f>IFERROR(H92/G92,0)</x:f>
        <x:v>0.07491638795986622</x:v>
      </x:c>
      <x:c r="M92" s="76" t="n">
        <x:f>IFERROR(E92/H92,0)</x:f>
        <x:v>5.685267857142857</x:v>
      </x:c>
      <x:c r="N92" s="80" t="n">
        <x:f>IFERROR(J92/E92,0)</x:f>
        <x:v>6.672603062426384</x:v>
      </x:c>
    </x:row>
    <x:row r="93">
      <x:c r="A93" s="38" t="n">
        <x:v>46074</x:v>
      </x:c>
      <x:c r="B93" t="str">
        <x:v>2026-02</x:v>
      </x:c>
      <x:c r="C93" t="str">
        <x:v>Organic Search</x:v>
      </x:c>
      <x:c r="D93" t="str">
        <x:v>Brand</x:v>
      </x:c>
      <x:c r="E93" s="76" t="n">
        <x:v>139.06</x:v>
      </x:c>
      <x:c r="F93" s="88" t="n">
        <x:v>57176</x:v>
      </x:c>
      <x:c r="G93" s="88" t="n">
        <x:v>2543</x:v>
      </x:c>
      <x:c r="H93" s="88" t="n">
        <x:v>107</x:v>
      </x:c>
      <x:c r="I93" s="88" t="n">
        <x:v>36</x:v>
      </x:c>
      <x:c r="J93" s="76" t="n">
        <x:v>4327.99</x:v>
      </x:c>
      <x:c r="K93" s="78" t="n">
        <x:f>G93/F93</x:f>
        <x:v>0.04447670351196306</x:v>
      </x:c>
      <x:c r="L93" s="78" t="n">
        <x:f>IFERROR(H93/G93,0)</x:f>
        <x:v>0.042076287848997244</x:v>
      </x:c>
      <x:c r="M93" s="76" t="n">
        <x:f>IFERROR(E93/H93,0)</x:f>
        <x:v>1.299626168224299</x:v>
      </x:c>
      <x:c r="N93" s="80" t="n">
        <x:f>IFERROR(J93/E93,0)</x:f>
        <x:v>31.123184237019988</x:v>
      </x:c>
    </x:row>
    <x:row r="94">
      <x:c r="A94" s="38" t="n">
        <x:v>46049</x:v>
      </x:c>
      <x:c r="B94" t="str">
        <x:v>2026-01</x:v>
      </x:c>
      <x:c r="C94" t="str">
        <x:v>Email</x:v>
      </x:c>
      <x:c r="D94" t="str">
        <x:v>Seasonal</x:v>
      </x:c>
      <x:c r="E94" s="76" t="n">
        <x:v>75.01</x:v>
      </x:c>
      <x:c r="F94" s="88" t="n">
        <x:v>11941</x:v>
      </x:c>
      <x:c r="G94" s="88" t="n">
        <x:v>613</x:v>
      </x:c>
      <x:c r="H94" s="88" t="n">
        <x:v>40</x:v>
      </x:c>
      <x:c r="I94" s="88" t="n">
        <x:v>5</x:v>
      </x:c>
      <x:c r="J94" s="76" t="n">
        <x:v>2093.4</x:v>
      </x:c>
      <x:c r="K94" s="78" t="n">
        <x:f>G94/F94</x:f>
        <x:v>0.051335734025625995</x:v>
      </x:c>
      <x:c r="L94" s="78" t="n">
        <x:f>IFERROR(H94/G94,0)</x:f>
        <x:v>0.06525285481239804</x:v>
      </x:c>
      <x:c r="M94" s="76" t="n">
        <x:f>IFERROR(E94/H94,0)</x:f>
        <x:v>1.87525</x:v>
      </x:c>
      <x:c r="N94" s="80" t="n">
        <x:f>IFERROR(J94/E94,0)</x:f>
        <x:v>27.90827889614718</x:v>
      </x:c>
    </x:row>
    <x:row r="95">
      <x:c r="A95" s="38" t="n">
        <x:v>46027</x:v>
      </x:c>
      <x:c r="B95" t="str">
        <x:v>2026-01</x:v>
      </x:c>
      <x:c r="C95" t="str">
        <x:v>Google Ads</x:v>
      </x:c>
      <x:c r="D95" t="str">
        <x:v>Lead Magnet</x:v>
      </x:c>
      <x:c r="E95" s="76" t="n">
        <x:v>113.59</x:v>
      </x:c>
      <x:c r="F95" s="88" t="n">
        <x:v>73004</x:v>
      </x:c>
      <x:c r="G95" s="88" t="n">
        <x:v>2745</x:v>
      </x:c>
      <x:c r="H95" s="88" t="n">
        <x:v>185</x:v>
      </x:c>
      <x:c r="I95" s="88" t="n">
        <x:v>20</x:v>
      </x:c>
      <x:c r="J95" s="76" t="n">
        <x:v>5658.78</x:v>
      </x:c>
      <x:c r="K95" s="78" t="n">
        <x:f>G95/F95</x:f>
        <x:v>0.03760067941482659</x:v>
      </x:c>
      <x:c r="L95" s="78" t="n">
        <x:f>IFERROR(H95/G95,0)</x:f>
        <x:v>0.06739526411657559</x:v>
      </x:c>
      <x:c r="M95" s="76" t="n">
        <x:f>IFERROR(E95/H95,0)</x:f>
        <x:v>0.614</x:v>
      </x:c>
      <x:c r="N95" s="80" t="n">
        <x:f>IFERROR(J95/E95,0)</x:f>
        <x:v>49.81758957654723</x:v>
      </x:c>
    </x:row>
    <x:row r="96">
      <x:c r="A96" s="38" t="n">
        <x:v>46051</x:v>
      </x:c>
      <x:c r="B96" t="str">
        <x:v>2026-01</x:v>
      </x:c>
      <x:c r="C96" t="str">
        <x:v>Organic Search</x:v>
      </x:c>
      <x:c r="D96" t="str">
        <x:v>Launch</x:v>
      </x:c>
      <x:c r="E96" s="76" t="n">
        <x:v>180.08</x:v>
      </x:c>
      <x:c r="F96" s="88" t="n">
        <x:v>38478</x:v>
      </x:c>
      <x:c r="G96" s="88" t="n">
        <x:v>2151</x:v>
      </x:c>
      <x:c r="H96" s="88" t="n">
        <x:v>172</x:v>
      </x:c>
      <x:c r="I96" s="88" t="n">
        <x:v>36</x:v>
      </x:c>
      <x:c r="J96" s="76" t="n">
        <x:v>11698.6</x:v>
      </x:c>
      <x:c r="K96" s="78" t="n">
        <x:f>G96/F96</x:f>
        <x:v>0.055902073912365506</x:v>
      </x:c>
      <x:c r="L96" s="78" t="n">
        <x:f>IFERROR(H96/G96,0)</x:f>
        <x:v>0.0799628079962808</x:v>
      </x:c>
      <x:c r="M96" s="76" t="n">
        <x:f>IFERROR(E96/H96,0)</x:f>
        <x:v>1.0469767441860467</x:v>
      </x:c>
      <x:c r="N96" s="80" t="n">
        <x:f>IFERROR(J96/E96,0)</x:f>
        <x:v>64.96334962239004</x:v>
      </x:c>
    </x:row>
    <x:row r="97">
      <x:c r="A97" s="38" t="n">
        <x:v>46104</x:v>
      </x:c>
      <x:c r="B97" t="str">
        <x:v>2026-03</x:v>
      </x:c>
      <x:c r="C97" t="str">
        <x:v>Meta Ads</x:v>
      </x:c>
      <x:c r="D97" t="str">
        <x:v>Seasonal</x:v>
      </x:c>
      <x:c r="E97" s="76" t="n">
        <x:v>242.29</x:v>
      </x:c>
      <x:c r="F97" s="88" t="n">
        <x:v>56205</x:v>
      </x:c>
      <x:c r="G97" s="88" t="n">
        <x:v>2963</x:v>
      </x:c>
      <x:c r="H97" s="88" t="n">
        <x:v>340</x:v>
      </x:c>
      <x:c r="I97" s="88" t="n">
        <x:v>91</x:v>
      </x:c>
      <x:c r="J97" s="76" t="n">
        <x:v>17208.27</x:v>
      </x:c>
      <x:c r="K97" s="78" t="n">
        <x:f>G97/F97</x:f>
        <x:v>0.05271772973934703</x:v>
      </x:c>
      <x:c r="L97" s="78" t="n">
        <x:f>IFERROR(H97/G97,0)</x:f>
        <x:v>0.11474856564292946</x:v>
      </x:c>
      <x:c r="M97" s="76" t="n">
        <x:f>IFERROR(E97/H97,0)</x:f>
        <x:v>0.7126176470588235</x:v>
      </x:c>
      <x:c r="N97" s="80" t="n">
        <x:f>IFERROR(J97/E97,0)</x:f>
        <x:v>71.02344298155104</x:v>
      </x:c>
    </x:row>
    <x:row r="98">
      <x:c r="A98" s="38" t="n">
        <x:v>46035</x:v>
      </x:c>
      <x:c r="B98" t="str">
        <x:v>2026-01</x:v>
      </x:c>
      <x:c r="C98" t="str">
        <x:v>TikTok Ads</x:v>
      </x:c>
      <x:c r="D98" t="str">
        <x:v>Promo</x:v>
      </x:c>
      <x:c r="E98" s="76" t="n">
        <x:v>640.88</x:v>
      </x:c>
      <x:c r="F98" s="88" t="n">
        <x:v>62592</x:v>
      </x:c>
      <x:c r="G98" s="88" t="n">
        <x:v>4170</x:v>
      </x:c>
      <x:c r="H98" s="88" t="n">
        <x:v>716</x:v>
      </x:c>
      <x:c r="I98" s="88" t="n">
        <x:v>237</x:v>
      </x:c>
      <x:c r="J98" s="76" t="n">
        <x:v>30897.4</x:v>
      </x:c>
      <x:c r="K98" s="78" t="n">
        <x:f>G98/F98</x:f>
        <x:v>0.06662193251533742</x:v>
      </x:c>
      <x:c r="L98" s="78" t="n">
        <x:f>IFERROR(H98/G98,0)</x:f>
        <x:v>0.17170263788968826</x:v>
      </x:c>
      <x:c r="M98" s="76" t="n">
        <x:f>IFERROR(E98/H98,0)</x:f>
        <x:v>0.8950837988826815</x:v>
      </x:c>
      <x:c r="N98" s="80" t="n">
        <x:f>IFERROR(J98/E98,0)</x:f>
        <x:v>48.21089751591562</x:v>
      </x:c>
    </x:row>
    <x:row r="99">
      <x:c r="A99" s="38" t="n">
        <x:v>46110</x:v>
      </x:c>
      <x:c r="B99" t="str">
        <x:v>2026-03</x:v>
      </x:c>
      <x:c r="C99" t="str">
        <x:v>Email</x:v>
      </x:c>
      <x:c r="D99" t="str">
        <x:v>Seasonal</x:v>
      </x:c>
      <x:c r="E99" s="76" t="n">
        <x:v>88.71</x:v>
      </x:c>
      <x:c r="F99" s="88" t="n">
        <x:v>78892</x:v>
      </x:c>
      <x:c r="G99" s="88" t="n">
        <x:v>849</x:v>
      </x:c>
      <x:c r="H99" s="88" t="n">
        <x:v>45</x:v>
      </x:c>
      <x:c r="I99" s="88" t="n">
        <x:v>8</x:v>
      </x:c>
      <x:c r="J99" s="76" t="n">
        <x:v>829.89</x:v>
      </x:c>
      <x:c r="K99" s="78" t="n">
        <x:f>G99/F99</x:f>
        <x:v>0.010761547431932262</x:v>
      </x:c>
      <x:c r="L99" s="78" t="n">
        <x:f>IFERROR(H99/G99,0)</x:f>
        <x:v>0.053003533568904596</x:v>
      </x:c>
      <x:c r="M99" s="76" t="n">
        <x:f>IFERROR(E99/H99,0)</x:f>
        <x:v>1.9713333333333332</x:v>
      </x:c>
      <x:c r="N99" s="80" t="n">
        <x:f>IFERROR(J99/E99,0)</x:f>
        <x:v>9.355089617855935</x:v>
      </x:c>
    </x:row>
    <x:row r="100">
      <x:c r="A100" s="38" t="n">
        <x:v>46031</x:v>
      </x:c>
      <x:c r="B100" t="str">
        <x:v>2026-01</x:v>
      </x:c>
      <x:c r="C100" t="str">
        <x:v>Organic Search</x:v>
      </x:c>
      <x:c r="D100" t="str">
        <x:v>Seasonal</x:v>
      </x:c>
      <x:c r="E100" s="76" t="n">
        <x:v>55.95</x:v>
      </x:c>
      <x:c r="F100" s="88" t="n">
        <x:v>89842</x:v>
      </x:c>
      <x:c r="G100" s="88" t="n">
        <x:v>4169</x:v>
      </x:c>
      <x:c r="H100" s="88" t="n">
        <x:v>521</x:v>
      </x:c>
      <x:c r="I100" s="88" t="n">
        <x:v>82</x:v>
      </x:c>
      <x:c r="J100" s="76" t="n">
        <x:v>23701.09</x:v>
      </x:c>
      <x:c r="K100" s="78" t="n">
        <x:f>G100/F100</x:f>
        <x:v>0.04640368647180606</x:v>
      </x:c>
      <x:c r="L100" s="78" t="n">
        <x:f>IFERROR(H100/G100,0)</x:f>
        <x:v>0.12497001679059727</x:v>
      </x:c>
      <x:c r="M100" s="76" t="n">
        <x:f>IFERROR(E100/H100,0)</x:f>
        <x:v>0.10738963531669866</x:v>
      </x:c>
      <x:c r="N100" s="80" t="n">
        <x:f>IFERROR(J100/E100,0)</x:f>
        <x:v>423.61197497765863</x:v>
      </x:c>
    </x:row>
    <x:row r="101">
      <x:c r="A101" s="38" t="n">
        <x:v>46112</x:v>
      </x:c>
      <x:c r="B101" t="str">
        <x:v>2026-03</x:v>
      </x:c>
      <x:c r="C101" t="str">
        <x:v>Google Ads</x:v>
      </x:c>
      <x:c r="D101" t="str">
        <x:v>Promo</x:v>
      </x:c>
      <x:c r="E101" s="76" t="n">
        <x:v>315.81</x:v>
      </x:c>
      <x:c r="F101" s="88" t="n">
        <x:v>13092</x:v>
      </x:c>
      <x:c r="G101" s="88" t="n">
        <x:v>741</x:v>
      </x:c>
      <x:c r="H101" s="88" t="n">
        <x:v>100</x:v>
      </x:c>
      <x:c r="I101" s="88" t="n">
        <x:v>29</x:v>
      </x:c>
      <x:c r="J101" s="76" t="n">
        <x:v>8706.62</x:v>
      </x:c>
      <x:c r="K101" s="78" t="n">
        <x:f>G101/F101</x:f>
        <x:v>0.056599450045829516</x:v>
      </x:c>
      <x:c r="L101" s="78" t="n">
        <x:f>IFERROR(H101/G101,0)</x:f>
        <x:v>0.1349527665317139</x:v>
      </x:c>
      <x:c r="M101" s="76" t="n">
        <x:f>IFERROR(E101/H101,0)</x:f>
        <x:v>3.1581</x:v>
      </x:c>
      <x:c r="N101" s="80" t="n">
        <x:f>IFERROR(J101/E101,0)</x:f>
        <x:v>27.56917133719642</x:v>
      </x:c>
    </x:row>
    <x:row r="102">
      <x:c r="A102" s="38" t="n">
        <x:v>46033</x:v>
      </x:c>
      <x:c r="B102" t="str">
        <x:v>2026-01</x:v>
      </x:c>
      <x:c r="C102" t="str">
        <x:v>Email</x:v>
      </x:c>
      <x:c r="D102" t="str">
        <x:v>Retargeting</x:v>
      </x:c>
      <x:c r="E102" s="76" t="n">
        <x:v>134.49</x:v>
      </x:c>
      <x:c r="F102" s="88" t="n">
        <x:v>9714</x:v>
      </x:c>
      <x:c r="G102" s="88" t="n">
        <x:v>334</x:v>
      </x:c>
      <x:c r="H102" s="88" t="n">
        <x:v>19</x:v>
      </x:c>
      <x:c r="I102" s="88" t="n">
        <x:v>5</x:v>
      </x:c>
      <x:c r="J102" s="76" t="n">
        <x:v>2147.75</x:v>
      </x:c>
      <x:c r="K102" s="78" t="n">
        <x:f>G102/F102</x:f>
        <x:v>0.0343833642165946</x:v>
      </x:c>
      <x:c r="L102" s="78" t="n">
        <x:f>IFERROR(H102/G102,0)</x:f>
        <x:v>0.05688622754491018</x:v>
      </x:c>
      <x:c r="M102" s="76" t="n">
        <x:f>IFERROR(E102/H102,0)</x:f>
        <x:v>7.07842105263158</x:v>
      </x:c>
      <x:c r="N102" s="80" t="n">
        <x:f>IFERROR(J102/E102,0)</x:f>
        <x:v>15.969588817012417</x:v>
      </x:c>
    </x:row>
    <x:row r="103">
      <x:c r="A103" s="38" t="n">
        <x:v>46146</x:v>
      </x:c>
      <x:c r="B103" t="str">
        <x:v>2026-05</x:v>
      </x:c>
      <x:c r="C103" t="str">
        <x:v>Email</x:v>
      </x:c>
      <x:c r="D103" t="str">
        <x:v>Launch</x:v>
      </x:c>
      <x:c r="E103" s="76" t="n">
        <x:v>59.99</x:v>
      </x:c>
      <x:c r="F103" s="88" t="n">
        <x:v>54710</x:v>
      </x:c>
      <x:c r="G103" s="88" t="n">
        <x:v>1584</x:v>
      </x:c>
      <x:c r="H103" s="88" t="n">
        <x:v>282</x:v>
      </x:c>
      <x:c r="I103" s="88" t="n">
        <x:v>49</x:v>
      </x:c>
      <x:c r="J103" s="76" t="n">
        <x:v>14281.32</x:v>
      </x:c>
      <x:c r="K103" s="78" t="n">
        <x:f>G103/F103</x:f>
        <x:v>0.02895265947724365</x:v>
      </x:c>
      <x:c r="L103" s="78" t="n">
        <x:f>IFERROR(H103/G103,0)</x:f>
        <x:v>0.17803030303030304</x:v>
      </x:c>
      <x:c r="M103" s="76" t="n">
        <x:f>IFERROR(E103/H103,0)</x:f>
        <x:v>0.2127304964539007</x:v>
      </x:c>
      <x:c r="N103" s="80" t="n">
        <x:f>IFERROR(J103/E103,0)</x:f>
        <x:v>238.0616769461577</x:v>
      </x:c>
    </x:row>
    <x:row r="104">
      <x:c r="A104" s="38" t="n">
        <x:v>46078</x:v>
      </x:c>
      <x:c r="B104" t="str">
        <x:v>2026-02</x:v>
      </x:c>
      <x:c r="C104" t="str">
        <x:v>Influencers</x:v>
      </x:c>
      <x:c r="D104" t="str">
        <x:v>Launch</x:v>
      </x:c>
      <x:c r="E104" s="76" t="n">
        <x:v>337.07</x:v>
      </x:c>
      <x:c r="F104" s="88" t="n">
        <x:v>75084</x:v>
      </x:c>
      <x:c r="G104" s="88" t="n">
        <x:v>1353</x:v>
      </x:c>
      <x:c r="H104" s="88" t="n">
        <x:v>124</x:v>
      </x:c>
      <x:c r="I104" s="88" t="n">
        <x:v>34</x:v>
      </x:c>
      <x:c r="J104" s="76" t="n">
        <x:v>2309.14</x:v>
      </x:c>
      <x:c r="K104" s="78" t="n">
        <x:f>G104/F104</x:f>
        <x:v>0.018019817804059455</x:v>
      </x:c>
      <x:c r="L104" s="78" t="n">
        <x:f>IFERROR(H104/G104,0)</x:f>
        <x:v>0.09164818920916482</x:v>
      </x:c>
      <x:c r="M104" s="76" t="n">
        <x:f>IFERROR(E104/H104,0)</x:f>
        <x:v>2.718306451612903</x:v>
      </x:c>
      <x:c r="N104" s="80" t="n">
        <x:f>IFERROR(J104/E104,0)</x:f>
        <x:v>6.85062449936215</x:v>
      </x:c>
    </x:row>
    <x:row r="105">
      <x:c r="A105" s="38" t="n">
        <x:v>46179</x:v>
      </x:c>
      <x:c r="B105" t="str">
        <x:v>2026-06</x:v>
      </x:c>
      <x:c r="C105" t="str">
        <x:v>Email</x:v>
      </x:c>
      <x:c r="D105" t="str">
        <x:v>Lead Magnet</x:v>
      </x:c>
      <x:c r="E105" s="76" t="n">
        <x:v>7.35</x:v>
      </x:c>
      <x:c r="F105" s="88" t="n">
        <x:v>81813</x:v>
      </x:c>
      <x:c r="G105" s="88" t="n">
        <x:v>4519</x:v>
      </x:c>
      <x:c r="H105" s="88" t="n">
        <x:v>563</x:v>
      </x:c>
      <x:c r="I105" s="88" t="n">
        <x:v>96</x:v>
      </x:c>
      <x:c r="J105" s="76" t="n">
        <x:v>35547.73</x:v>
      </x:c>
      <x:c r="K105" s="78" t="n">
        <x:f>G105/F105</x:f>
        <x:v>0.05523572048451957</x:v>
      </x:c>
      <x:c r="L105" s="78" t="n">
        <x:f>IFERROR(H105/G105,0)</x:f>
        <x:v>0.12458508519583979</x:v>
      </x:c>
      <x:c r="M105" s="76" t="n">
        <x:f>IFERROR(E105/H105,0)</x:f>
        <x:v>0.0130550621669627</x:v>
      </x:c>
      <x:c r="N105" s="80" t="n">
        <x:f>IFERROR(J105/E105,0)</x:f>
        <x:v>4836.425850340137</x:v>
      </x:c>
    </x:row>
    <x:row r="106">
      <x:c r="A106" s="38" t="n">
        <x:v>46082</x:v>
      </x:c>
      <x:c r="B106" t="str">
        <x:v>2026-03</x:v>
      </x:c>
      <x:c r="C106" t="str">
        <x:v>Email</x:v>
      </x:c>
      <x:c r="D106" t="str">
        <x:v>Brand</x:v>
      </x:c>
      <x:c r="E106" s="76" t="n">
        <x:v>58.61</x:v>
      </x:c>
      <x:c r="F106" s="88" t="n">
        <x:v>46693</x:v>
      </x:c>
      <x:c r="G106" s="88" t="n">
        <x:v>1043</x:v>
      </x:c>
      <x:c r="H106" s="88" t="n">
        <x:v>73</x:v>
      </x:c>
      <x:c r="I106" s="88" t="n">
        <x:v>20</x:v>
      </x:c>
      <x:c r="J106" s="76" t="n">
        <x:v>4945.51</x:v>
      </x:c>
      <x:c r="K106" s="78" t="n">
        <x:f>G106/F106</x:f>
        <x:v>0.022337395326922665</x:v>
      </x:c>
      <x:c r="L106" s="78" t="n">
        <x:f>IFERROR(H106/G106,0)</x:f>
        <x:v>0.06999041227229147</x:v>
      </x:c>
      <x:c r="M106" s="76" t="n">
        <x:f>IFERROR(E106/H106,0)</x:f>
        <x:v>0.8028767123287671</x:v>
      </x:c>
      <x:c r="N106" s="80" t="n">
        <x:f>IFERROR(J106/E106,0)</x:f>
        <x:v>84.37996928851732</x:v>
      </x:c>
    </x:row>
    <x:row r="107">
      <x:c r="A107" s="38" t="n">
        <x:v>46042</x:v>
      </x:c>
      <x:c r="B107" t="str">
        <x:v>2026-01</x:v>
      </x:c>
      <x:c r="C107" t="str">
        <x:v>Organic Search</x:v>
      </x:c>
      <x:c r="D107" t="str">
        <x:v>Launch</x:v>
      </x:c>
      <x:c r="E107" s="76" t="n">
        <x:v>128.75</x:v>
      </x:c>
      <x:c r="F107" s="88" t="n">
        <x:v>33962</x:v>
      </x:c>
      <x:c r="G107" s="88" t="n">
        <x:v>458</x:v>
      </x:c>
      <x:c r="H107" s="88" t="n">
        <x:v>78</x:v>
      </x:c>
      <x:c r="I107" s="88" t="n">
        <x:v>18</x:v>
      </x:c>
      <x:c r="J107" s="76" t="n">
        <x:v>4177.52</x:v>
      </x:c>
      <x:c r="K107" s="78" t="n">
        <x:f>G107/F107</x:f>
        <x:v>0.013485660444025676</x:v>
      </x:c>
      <x:c r="L107" s="78" t="n">
        <x:f>IFERROR(H107/G107,0)</x:f>
        <x:v>0.1703056768558952</x:v>
      </x:c>
      <x:c r="M107" s="76" t="n">
        <x:f>IFERROR(E107/H107,0)</x:f>
        <x:v>1.6506410256410255</x:v>
      </x:c>
      <x:c r="N107" s="80" t="n">
        <x:f>IFERROR(J107/E107,0)</x:f>
        <x:v>32.4467572815534</x:v>
      </x:c>
    </x:row>
    <x:row r="108">
      <x:c r="A108" s="38" t="n">
        <x:v>46094</x:v>
      </x:c>
      <x:c r="B108" t="str">
        <x:v>2026-03</x:v>
      </x:c>
      <x:c r="C108" t="str">
        <x:v>Influencers</x:v>
      </x:c>
      <x:c r="D108" t="str">
        <x:v>Promo</x:v>
      </x:c>
      <x:c r="E108" s="76" t="n">
        <x:v>182.44</x:v>
      </x:c>
      <x:c r="F108" s="88" t="n">
        <x:v>65954</x:v>
      </x:c>
      <x:c r="G108" s="88" t="n">
        <x:v>2575</x:v>
      </x:c>
      <x:c r="H108" s="88" t="n">
        <x:v>445</x:v>
      </x:c>
      <x:c r="I108" s="88" t="n">
        <x:v>56</x:v>
      </x:c>
      <x:c r="J108" s="76" t="n">
        <x:v>10518.52</x:v>
      </x:c>
      <x:c r="K108" s="78" t="n">
        <x:f>G108/F108</x:f>
        <x:v>0.03904236285896231</x:v>
      </x:c>
      <x:c r="L108" s="78" t="n">
        <x:f>IFERROR(H108/G108,0)</x:f>
        <x:v>0.17281553398058253</x:v>
      </x:c>
      <x:c r="M108" s="76" t="n">
        <x:f>IFERROR(E108/H108,0)</x:f>
        <x:v>0.40997752808988763</x:v>
      </x:c>
      <x:c r="N108" s="80" t="n">
        <x:f>IFERROR(J108/E108,0)</x:f>
        <x:v>57.65468099101075</x:v>
      </x:c>
    </x:row>
    <x:row r="109">
      <x:c r="A109" s="38" t="n">
        <x:v>46172</x:v>
      </x:c>
      <x:c r="B109" t="str">
        <x:v>2026-05</x:v>
      </x:c>
      <x:c r="C109" t="str">
        <x:v>Organic Search</x:v>
      </x:c>
      <x:c r="D109" t="str">
        <x:v>Lead Magnet</x:v>
      </x:c>
      <x:c r="E109" s="76" t="n">
        <x:v>187.06</x:v>
      </x:c>
      <x:c r="F109" s="88" t="n">
        <x:v>72874</x:v>
      </x:c>
      <x:c r="G109" s="88" t="n">
        <x:v>994</x:v>
      </x:c>
      <x:c r="H109" s="88" t="n">
        <x:v>83</x:v>
      </x:c>
      <x:c r="I109" s="88" t="n">
        <x:v>17</x:v>
      </x:c>
      <x:c r="J109" s="76" t="n">
        <x:v>4611.74</x:v>
      </x:c>
      <x:c r="K109" s="78" t="n">
        <x:f>G109/F109</x:f>
        <x:v>0.013639981337651288</x:v>
      </x:c>
      <x:c r="L109" s="78" t="n">
        <x:f>IFERROR(H109/G109,0)</x:f>
        <x:v>0.08350100603621731</x:v>
      </x:c>
      <x:c r="M109" s="76" t="n">
        <x:f>IFERROR(E109/H109,0)</x:f>
        <x:v>2.253734939759036</x:v>
      </x:c>
      <x:c r="N109" s="80" t="n">
        <x:f>IFERROR(J109/E109,0)</x:f>
        <x:v>24.653800919491072</x:v>
      </x:c>
    </x:row>
    <x:row r="110">
      <x:c r="A110" s="38" t="n">
        <x:v>46041</x:v>
      </x:c>
      <x:c r="B110" t="str">
        <x:v>2026-01</x:v>
      </x:c>
      <x:c r="C110" t="str">
        <x:v>Influencers</x:v>
      </x:c>
      <x:c r="D110" t="str">
        <x:v>Seasonal</x:v>
      </x:c>
      <x:c r="E110" s="76" t="n">
        <x:v>762.93</x:v>
      </x:c>
      <x:c r="F110" s="88" t="n">
        <x:v>33189</x:v>
      </x:c>
      <x:c r="G110" s="88" t="n">
        <x:v>958</x:v>
      </x:c>
      <x:c r="H110" s="88" t="n">
        <x:v>33</x:v>
      </x:c>
      <x:c r="I110" s="88" t="n">
        <x:v>4</x:v>
      </x:c>
      <x:c r="J110" s="76" t="n">
        <x:v>1562.28</x:v>
      </x:c>
      <x:c r="K110" s="78" t="n">
        <x:f>G110/F110</x:f>
        <x:v>0.028864985386724516</x:v>
      </x:c>
      <x:c r="L110" s="78" t="n">
        <x:f>IFERROR(H110/G110,0)</x:f>
        <x:v>0.03444676409185804</x:v>
      </x:c>
      <x:c r="M110" s="76" t="n">
        <x:f>IFERROR(E110/H110,0)</x:f>
        <x:v>23.119090909090907</x:v>
      </x:c>
      <x:c r="N110" s="80" t="n">
        <x:f>IFERROR(J110/E110,0)</x:f>
        <x:v>2.0477370138806967</x:v>
      </x:c>
    </x:row>
    <x:row r="111">
      <x:c r="A111" s="38" t="n">
        <x:v>46180</x:v>
      </x:c>
      <x:c r="B111" t="str">
        <x:v>2026-06</x:v>
      </x:c>
      <x:c r="C111" t="str">
        <x:v>Email</x:v>
      </x:c>
      <x:c r="D111" t="str">
        <x:v>Launch</x:v>
      </x:c>
      <x:c r="E111" s="76" t="n">
        <x:v>90.9</x:v>
      </x:c>
      <x:c r="F111" s="88" t="n">
        <x:v>41577</x:v>
      </x:c>
      <x:c r="G111" s="88" t="n">
        <x:v>2723</x:v>
      </x:c>
      <x:c r="H111" s="88" t="n">
        <x:v>449</x:v>
      </x:c>
      <x:c r="I111" s="88" t="n">
        <x:v>53</x:v>
      </x:c>
      <x:c r="J111" s="76" t="n">
        <x:v>13037.23</x:v>
      </x:c>
      <x:c r="K111" s="78" t="n">
        <x:f>G111/F111</x:f>
        <x:v>0.06549294080862016</x:v>
      </x:c>
      <x:c r="L111" s="78" t="n">
        <x:f>IFERROR(H111/G111,0)</x:f>
        <x:v>0.16489166360631657</x:v>
      </x:c>
      <x:c r="M111" s="76" t="n">
        <x:f>IFERROR(E111/H111,0)</x:f>
        <x:v>0.2024498886414254</x:v>
      </x:c>
      <x:c r="N111" s="80" t="n">
        <x:f>IFERROR(J111/E111,0)</x:f>
        <x:v>143.4238723872387</x:v>
      </x:c>
    </x:row>
    <x:row r="112">
      <x:c r="A112" s="38" t="n">
        <x:v>46169</x:v>
      </x:c>
      <x:c r="B112" t="str">
        <x:v>2026-05</x:v>
      </x:c>
      <x:c r="C112" t="str">
        <x:v>Influencers</x:v>
      </x:c>
      <x:c r="D112" t="str">
        <x:v>Launch</x:v>
      </x:c>
      <x:c r="E112" s="76" t="n">
        <x:v>626.9</x:v>
      </x:c>
      <x:c r="F112" s="88" t="n">
        <x:v>20082</x:v>
      </x:c>
      <x:c r="G112" s="88" t="n">
        <x:v>1274</x:v>
      </x:c>
      <x:c r="H112" s="88" t="n">
        <x:v>72</x:v>
      </x:c>
      <x:c r="I112" s="88" t="n">
        <x:v>18</x:v>
      </x:c>
      <x:c r="J112" s="76" t="n">
        <x:v>2743.35</x:v>
      </x:c>
      <x:c r="K112" s="78" t="n">
        <x:f>G112/F112</x:f>
        <x:v>0.0634398964246589</x:v>
      </x:c>
      <x:c r="L112" s="78" t="n">
        <x:f>IFERROR(H112/G112,0)</x:f>
        <x:v>0.0565149136577708</x:v>
      </x:c>
      <x:c r="M112" s="76" t="n">
        <x:f>IFERROR(E112/H112,0)</x:f>
        <x:v>8.706944444444444</x:v>
      </x:c>
      <x:c r="N112" s="80" t="n">
        <x:f>IFERROR(J112/E112,0)</x:f>
        <x:v>4.376056787366406</x:v>
      </x:c>
    </x:row>
    <x:row r="113">
      <x:c r="A113" s="38" t="n">
        <x:v>46135</x:v>
      </x:c>
      <x:c r="B113" t="str">
        <x:v>2026-04</x:v>
      </x:c>
      <x:c r="C113" t="str">
        <x:v>Google Ads</x:v>
      </x:c>
      <x:c r="D113" t="str">
        <x:v>Lead Magnet</x:v>
      </x:c>
      <x:c r="E113" s="76" t="n">
        <x:v>945.78</x:v>
      </x:c>
      <x:c r="F113" s="88" t="n">
        <x:v>60093</x:v>
      </x:c>
      <x:c r="G113" s="88" t="n">
        <x:v>2947</x:v>
      </x:c>
      <x:c r="H113" s="88" t="n">
        <x:v>347</x:v>
      </x:c>
      <x:c r="I113" s="88" t="n">
        <x:v>96</x:v>
      </x:c>
      <x:c r="J113" s="76" t="n">
        <x:v>42794.52</x:v>
      </x:c>
      <x:c r="K113" s="78" t="n">
        <x:f>G113/F113</x:f>
        <x:v>0.049040653653503734</x:v>
      </x:c>
      <x:c r="L113" s="78" t="n">
        <x:f>IFERROR(H113/G113,0)</x:f>
        <x:v>0.1177468612147947</x:v>
      </x:c>
      <x:c r="M113" s="76" t="n">
        <x:f>IFERROR(E113/H113,0)</x:f>
        <x:v>2.7255907780979824</x:v>
      </x:c>
      <x:c r="N113" s="80" t="n">
        <x:f>IFERROR(J113/E113,0)</x:f>
        <x:v>45.24785891010594</x:v>
      </x:c>
    </x:row>
    <x:row r="114">
      <x:c r="A114" s="38" t="n">
        <x:v>46055</x:v>
      </x:c>
      <x:c r="B114" t="str">
        <x:v>2026-02</x:v>
      </x:c>
      <x:c r="C114" t="str">
        <x:v>Influencers</x:v>
      </x:c>
      <x:c r="D114" t="str">
        <x:v>Promo</x:v>
      </x:c>
      <x:c r="E114" s="76" t="n">
        <x:v>372.62</x:v>
      </x:c>
      <x:c r="F114" s="88" t="n">
        <x:v>27131</x:v>
      </x:c>
      <x:c r="G114" s="88" t="n">
        <x:v>884</x:v>
      </x:c>
      <x:c r="H114" s="88" t="n">
        <x:v>98</x:v>
      </x:c>
      <x:c r="I114" s="88" t="n">
        <x:v>30</x:v>
      </x:c>
      <x:c r="J114" s="76" t="n">
        <x:v>2392.41</x:v>
      </x:c>
      <x:c r="K114" s="78" t="n">
        <x:f>G114/F114</x:f>
        <x:v>0.03258265452803066</x:v>
      </x:c>
      <x:c r="L114" s="78" t="n">
        <x:f>IFERROR(H114/G114,0)</x:f>
        <x:v>0.11085972850678733</x:v>
      </x:c>
      <x:c r="M114" s="76" t="n">
        <x:f>IFERROR(E114/H114,0)</x:f>
        <x:v>3.802244897959184</x:v>
      </x:c>
      <x:c r="N114" s="80" t="n">
        <x:f>IFERROR(J114/E114,0)</x:f>
        <x:v>6.420508829370403</x:v>
      </x:c>
    </x:row>
    <x:row r="115">
      <x:c r="A115" s="38" t="n">
        <x:v>46073</x:v>
      </x:c>
      <x:c r="B115" t="str">
        <x:v>2026-02</x:v>
      </x:c>
      <x:c r="C115" t="str">
        <x:v>TikTok Ads</x:v>
      </x:c>
      <x:c r="D115" t="str">
        <x:v>Launch</x:v>
      </x:c>
      <x:c r="E115" s="76" t="n">
        <x:v>1154.15</x:v>
      </x:c>
      <x:c r="F115" s="88" t="n">
        <x:v>21986</x:v>
      </x:c>
      <x:c r="G115" s="88" t="n">
        <x:v>857</x:v>
      </x:c>
      <x:c r="H115" s="88" t="n">
        <x:v>28</x:v>
      </x:c>
      <x:c r="I115" s="88" t="n">
        <x:v>8</x:v>
      </x:c>
      <x:c r="J115" s="76" t="n">
        <x:v>3174.17</x:v>
      </x:c>
      <x:c r="K115" s="78" t="n">
        <x:f>G115/F115</x:f>
        <x:v>0.03897935049577003</x:v>
      </x:c>
      <x:c r="L115" s="78" t="n">
        <x:f>IFERROR(H115/G115,0)</x:f>
        <x:v>0.03267211201866978</x:v>
      </x:c>
      <x:c r="M115" s="76" t="n">
        <x:f>IFERROR(E115/H115,0)</x:f>
        <x:v>41.21964285714286</x:v>
      </x:c>
      <x:c r="N115" s="80" t="n">
        <x:f>IFERROR(J115/E115,0)</x:f>
        <x:v>2.7502231079149158</x:v>
      </x:c>
    </x:row>
    <x:row r="116">
      <x:c r="A116" s="38" t="n">
        <x:v>46154</x:v>
      </x:c>
      <x:c r="B116" t="str">
        <x:v>2026-05</x:v>
      </x:c>
      <x:c r="C116" t="str">
        <x:v>Email</x:v>
      </x:c>
      <x:c r="D116" t="str">
        <x:v>Retargeting</x:v>
      </x:c>
      <x:c r="E116" s="76" t="n">
        <x:v>195.26</x:v>
      </x:c>
      <x:c r="F116" s="88" t="n">
        <x:v>56973</x:v>
      </x:c>
      <x:c r="G116" s="88" t="n">
        <x:v>1716</x:v>
      </x:c>
      <x:c r="H116" s="88" t="n">
        <x:v>179</x:v>
      </x:c>
      <x:c r="I116" s="88" t="n">
        <x:v>55</x:v>
      </x:c>
      <x:c r="J116" s="76" t="n">
        <x:v>6876.83</x:v>
      </x:c>
      <x:c r="K116" s="78" t="n">
        <x:f>G116/F116</x:f>
        <x:v>0.030119530303828128</x:v>
      </x:c>
      <x:c r="L116" s="78" t="n">
        <x:f>IFERROR(H116/G116,0)</x:f>
        <x:v>0.10431235431235432</x:v>
      </x:c>
      <x:c r="M116" s="76" t="n">
        <x:f>IFERROR(E116/H116,0)</x:f>
        <x:v>1.0908379888268156</x:v>
      </x:c>
      <x:c r="N116" s="80" t="n">
        <x:f>IFERROR(J116/E116,0)</x:f>
        <x:v>35.21883642323056</x:v>
      </x:c>
    </x:row>
    <x:row r="117">
      <x:c r="A117" s="38" t="n">
        <x:v>46138</x:v>
      </x:c>
      <x:c r="B117" t="str">
        <x:v>2026-04</x:v>
      </x:c>
      <x:c r="C117" t="str">
        <x:v>Google Ads</x:v>
      </x:c>
      <x:c r="D117" t="str">
        <x:v>Promo</x:v>
      </x:c>
      <x:c r="E117" s="76" t="n">
        <x:v>664.41</x:v>
      </x:c>
      <x:c r="F117" s="88" t="n">
        <x:v>82984</x:v>
      </x:c>
      <x:c r="G117" s="88" t="n">
        <x:v>4309</x:v>
      </x:c>
      <x:c r="H117" s="88" t="n">
        <x:v>231</x:v>
      </x:c>
      <x:c r="I117" s="88" t="n">
        <x:v>74</x:v>
      </x:c>
      <x:c r="J117" s="76" t="n">
        <x:v>21441.31</x:v>
      </x:c>
      <x:c r="K117" s="78" t="n">
        <x:f>G117/F117</x:f>
        <x:v>0.051925672418779524</x:v>
      </x:c>
      <x:c r="L117" s="78" t="n">
        <x:f>IFERROR(H117/G117,0)</x:f>
        <x:v>0.05360872592248782</x:v>
      </x:c>
      <x:c r="M117" s="76" t="n">
        <x:f>IFERROR(E117/H117,0)</x:f>
        <x:v>2.8762337662337663</x:v>
      </x:c>
      <x:c r="N117" s="80" t="n">
        <x:f>IFERROR(J117/E117,0)</x:f>
        <x:v>32.27120302223025</x:v>
      </x:c>
    </x:row>
    <x:row r="118">
      <x:c r="A118" s="38" t="n">
        <x:v>46145</x:v>
      </x:c>
      <x:c r="B118" t="str">
        <x:v>2026-05</x:v>
      </x:c>
      <x:c r="C118" t="str">
        <x:v>TikTok Ads</x:v>
      </x:c>
      <x:c r="D118" t="str">
        <x:v>Lead Magnet</x:v>
      </x:c>
      <x:c r="E118" s="76" t="n">
        <x:v>206.32</x:v>
      </x:c>
      <x:c r="F118" s="88" t="n">
        <x:v>80845</x:v>
      </x:c>
      <x:c r="G118" s="88" t="n">
        <x:v>1608</x:v>
      </x:c>
      <x:c r="H118" s="88" t="n">
        <x:v>114</x:v>
      </x:c>
      <x:c r="I118" s="88" t="n">
        <x:v>14</x:v>
      </x:c>
      <x:c r="J118" s="76" t="n">
        <x:v>1807.85</x:v>
      </x:c>
      <x:c r="K118" s="78" t="n">
        <x:f>G118/F118</x:f>
        <x:v>0.019889912796091286</x:v>
      </x:c>
      <x:c r="L118" s="78" t="n">
        <x:f>IFERROR(H118/G118,0)</x:f>
        <x:v>0.0708955223880597</x:v>
      </x:c>
      <x:c r="M118" s="76" t="n">
        <x:f>IFERROR(E118/H118,0)</x:f>
        <x:v>1.8098245614035087</x:v>
      </x:c>
      <x:c r="N118" s="80" t="n">
        <x:f>IFERROR(J118/E118,0)</x:f>
        <x:v>8.762359441644048</x:v>
      </x:c>
    </x:row>
    <x:row r="119">
      <x:c r="A119" s="38" t="n">
        <x:v>46110</x:v>
      </x:c>
      <x:c r="B119" t="str">
        <x:v>2026-03</x:v>
      </x:c>
      <x:c r="C119" t="str">
        <x:v>Google Ads</x:v>
      </x:c>
      <x:c r="D119" t="str">
        <x:v>Launch</x:v>
      </x:c>
      <x:c r="E119" s="76" t="n">
        <x:v>480.77</x:v>
      </x:c>
      <x:c r="F119" s="88" t="n">
        <x:v>4994</x:v>
      </x:c>
      <x:c r="G119" s="88" t="n">
        <x:v>348</x:v>
      </x:c>
      <x:c r="H119" s="88" t="n">
        <x:v>36</x:v>
      </x:c>
      <x:c r="I119" s="88" t="n">
        <x:v>4</x:v>
      </x:c>
      <x:c r="J119" s="76" t="n">
        <x:v>1464.24</x:v>
      </x:c>
      <x:c r="K119" s="78" t="n">
        <x:f>G119/F119</x:f>
        <x:v>0.06968362034441329</x:v>
      </x:c>
      <x:c r="L119" s="78" t="n">
        <x:f>IFERROR(H119/G119,0)</x:f>
        <x:v>0.10344827586206896</x:v>
      </x:c>
      <x:c r="M119" s="76" t="n">
        <x:f>IFERROR(E119/H119,0)</x:f>
        <x:v>13.354722222222222</x:v>
      </x:c>
      <x:c r="N119" s="80" t="n">
        <x:f>IFERROR(J119/E119,0)</x:f>
        <x:v>3.045614327017077</x:v>
      </x:c>
    </x:row>
    <x:row r="120">
      <x:c r="A120" s="38" t="n">
        <x:v>46110</x:v>
      </x:c>
      <x:c r="B120" t="str">
        <x:v>2026-03</x:v>
      </x:c>
      <x:c r="C120" t="str">
        <x:v>Email</x:v>
      </x:c>
      <x:c r="D120" t="str">
        <x:v>Launch</x:v>
      </x:c>
      <x:c r="E120" s="76" t="n">
        <x:v>177.72</x:v>
      </x:c>
      <x:c r="F120" s="88" t="n">
        <x:v>73549</x:v>
      </x:c>
      <x:c r="G120" s="88" t="n">
        <x:v>1741</x:v>
      </x:c>
      <x:c r="H120" s="88" t="n">
        <x:v>270</x:v>
      </x:c>
      <x:c r="I120" s="88" t="n">
        <x:v>32</x:v>
      </x:c>
      <x:c r="J120" s="76" t="n">
        <x:v>5256.14</x:v>
      </x:c>
      <x:c r="K120" s="78" t="n">
        <x:f>G120/F120</x:f>
        <x:v>0.023671293967287114</x:v>
      </x:c>
      <x:c r="L120" s="78" t="n">
        <x:f>IFERROR(H120/G120,0)</x:f>
        <x:v>0.15508328546812178</x:v>
      </x:c>
      <x:c r="M120" s="76" t="n">
        <x:f>IFERROR(E120/H120,0)</x:f>
        <x:v>0.6582222222222223</x:v>
      </x:c>
      <x:c r="N120" s="80" t="n">
        <x:f>IFERROR(J120/E120,0)</x:f>
        <x:v>29.575399504839076</x:v>
      </x:c>
    </x:row>
    <x:row r="121">
      <x:c r="A121" s="38" t="n">
        <x:v>46062</x:v>
      </x:c>
      <x:c r="B121" t="str">
        <x:v>2026-02</x:v>
      </x:c>
      <x:c r="C121" t="str">
        <x:v>TikTok Ads</x:v>
      </x:c>
      <x:c r="D121" t="str">
        <x:v>Promo</x:v>
      </x:c>
      <x:c r="E121" s="76" t="n">
        <x:v>56.93</x:v>
      </x:c>
      <x:c r="F121" s="88" t="n">
        <x:v>83723</x:v>
      </x:c>
      <x:c r="G121" s="88" t="n">
        <x:v>758</x:v>
      </x:c>
      <x:c r="H121" s="88" t="n">
        <x:v>62</x:v>
      </x:c>
      <x:c r="I121" s="88" t="n">
        <x:v>15</x:v>
      </x:c>
      <x:c r="J121" s="76" t="n">
        <x:v>6328.84</x:v>
      </x:c>
      <x:c r="K121" s="78" t="n">
        <x:f>G121/F121</x:f>
        <x:v>0.009053665062169296</x:v>
      </x:c>
      <x:c r="L121" s="78" t="n">
        <x:f>IFERROR(H121/G121,0)</x:f>
        <x:v>0.08179419525065963</x:v>
      </x:c>
      <x:c r="M121" s="76" t="n">
        <x:f>IFERROR(E121/H121,0)</x:f>
        <x:v>0.9182258064516129</x:v>
      </x:c>
      <x:c r="N121" s="80" t="n">
        <x:f>IFERROR(J121/E121,0)</x:f>
        <x:v>111.16880379413315</x:v>
      </x:c>
    </x:row>
    <x:row r="122">
      <x:c r="A122" s="38" t="n">
        <x:v>46201</x:v>
      </x:c>
      <x:c r="B122" t="str">
        <x:v>2026-06</x:v>
      </x:c>
      <x:c r="C122" t="str">
        <x:v>Organic Search</x:v>
      </x:c>
      <x:c r="D122" t="str">
        <x:v>Seasonal</x:v>
      </x:c>
      <x:c r="E122" s="76" t="n">
        <x:v>103.28</x:v>
      </x:c>
      <x:c r="F122" s="88" t="n">
        <x:v>29294</x:v>
      </x:c>
      <x:c r="G122" s="88" t="n">
        <x:v>1640</x:v>
      </x:c>
      <x:c r="H122" s="88" t="n">
        <x:v>82</x:v>
      </x:c>
      <x:c r="I122" s="88" t="n">
        <x:v>24</x:v>
      </x:c>
      <x:c r="J122" s="76" t="n">
        <x:v>10485.69</x:v>
      </x:c>
      <x:c r="K122" s="78" t="n">
        <x:f>G122/F122</x:f>
        <x:v>0.05598416057895815</x:v>
      </x:c>
      <x:c r="L122" s="78" t="n">
        <x:f>IFERROR(H122/G122,0)</x:f>
        <x:v>0.05</x:v>
      </x:c>
      <x:c r="M122" s="76" t="n">
        <x:f>IFERROR(E122/H122,0)</x:f>
        <x:v>1.2595121951219512</x:v>
      </x:c>
      <x:c r="N122" s="80" t="n">
        <x:f>IFERROR(J122/E122,0)</x:f>
        <x:v>101.52682029434547</x:v>
      </x:c>
    </x:row>
    <x:row r="123">
      <x:c r="A123" s="38" t="n">
        <x:v>46148</x:v>
      </x:c>
      <x:c r="B123" t="str">
        <x:v>2026-05</x:v>
      </x:c>
      <x:c r="C123" t="str">
        <x:v>Organic Search</x:v>
      </x:c>
      <x:c r="D123" t="str">
        <x:v>Seasonal</x:v>
      </x:c>
      <x:c r="E123" s="76" t="n">
        <x:v>112.6</x:v>
      </x:c>
      <x:c r="F123" s="88" t="n">
        <x:v>85040</x:v>
      </x:c>
      <x:c r="G123" s="88" t="n">
        <x:v>618</x:v>
      </x:c>
      <x:c r="H123" s="88" t="n">
        <x:v>108</x:v>
      </x:c>
      <x:c r="I123" s="88" t="n">
        <x:v>34</x:v>
      </x:c>
      <x:c r="J123" s="76" t="n">
        <x:v>11160.86</x:v>
      </x:c>
      <x:c r="K123" s="78" t="n">
        <x:f>G123/F123</x:f>
        <x:v>0.00726716839134525</x:v>
      </x:c>
      <x:c r="L123" s="78" t="n">
        <x:f>IFERROR(H123/G123,0)</x:f>
        <x:v>0.17475728155339806</x:v>
      </x:c>
      <x:c r="M123" s="76" t="n">
        <x:f>IFERROR(E123/H123,0)</x:f>
        <x:v>1.0425925925925925</x:v>
      </x:c>
      <x:c r="N123" s="80" t="n">
        <x:f>IFERROR(J123/E123,0)</x:f>
        <x:v>99.11953818827709</x:v>
      </x:c>
    </x:row>
    <x:row r="124">
      <x:c r="A124" s="38" t="n">
        <x:v>46094</x:v>
      </x:c>
      <x:c r="B124" t="str">
        <x:v>2026-03</x:v>
      </x:c>
      <x:c r="C124" t="str">
        <x:v>Email</x:v>
      </x:c>
      <x:c r="D124" t="str">
        <x:v>Brand</x:v>
      </x:c>
      <x:c r="E124" s="76" t="n">
        <x:v>115.64</x:v>
      </x:c>
      <x:c r="F124" s="88" t="n">
        <x:v>83714</x:v>
      </x:c>
      <x:c r="G124" s="88" t="n">
        <x:v>3786</x:v>
      </x:c>
      <x:c r="H124" s="88" t="n">
        <x:v>128</x:v>
      </x:c>
      <x:c r="I124" s="88" t="n">
        <x:v>14</x:v>
      </x:c>
      <x:c r="J124" s="76" t="n">
        <x:v>6186.43</x:v>
      </x:c>
      <x:c r="K124" s="78" t="n">
        <x:f>G124/F124</x:f>
        <x:v>0.04522541032563251</x:v>
      </x:c>
      <x:c r="L124" s="78" t="n">
        <x:f>IFERROR(H124/G124,0)</x:f>
        <x:v>0.03380876914949815</x:v>
      </x:c>
      <x:c r="M124" s="76" t="n">
        <x:f>IFERROR(E124/H124,0)</x:f>
        <x:v>0.9034375</x:v>
      </x:c>
      <x:c r="N124" s="80" t="n">
        <x:f>IFERROR(J124/E124,0)</x:f>
        <x:v>53.49731926668973</x:v>
      </x:c>
    </x:row>
    <x:row r="125">
      <x:c r="A125" s="38" t="n">
        <x:v>46106</x:v>
      </x:c>
      <x:c r="B125" t="str">
        <x:v>2026-03</x:v>
      </x:c>
      <x:c r="C125" t="str">
        <x:v>Email</x:v>
      </x:c>
      <x:c r="D125" t="str">
        <x:v>Seasonal</x:v>
      </x:c>
      <x:c r="E125" s="76" t="n">
        <x:v>162.12</x:v>
      </x:c>
      <x:c r="F125" s="88" t="n">
        <x:v>55668</x:v>
      </x:c>
      <x:c r="G125" s="88" t="n">
        <x:v>1597</x:v>
      </x:c>
      <x:c r="H125" s="88" t="n">
        <x:v>113</x:v>
      </x:c>
      <x:c r="I125" s="88" t="n">
        <x:v>37</x:v>
      </x:c>
      <x:c r="J125" s="76" t="n">
        <x:v>10676.13</x:v>
      </x:c>
      <x:c r="K125" s="78" t="n">
        <x:f>G125/F125</x:f>
        <x:v>0.028687935618308544</x:v>
      </x:c>
      <x:c r="L125" s="78" t="n">
        <x:f>IFERROR(H125/G125,0)</x:f>
        <x:v>0.07075767063243582</x:v>
      </x:c>
      <x:c r="M125" s="76" t="n">
        <x:f>IFERROR(E125/H125,0)</x:f>
        <x:v>1.4346902654867257</x:v>
      </x:c>
      <x:c r="N125" s="80" t="n">
        <x:f>IFERROR(J125/E125,0)</x:f>
        <x:v>65.85325684678016</x:v>
      </x:c>
    </x:row>
    <x:row r="126">
      <x:c r="A126" s="38" t="n">
        <x:v>46118</x:v>
      </x:c>
      <x:c r="B126" t="str">
        <x:v>2026-04</x:v>
      </x:c>
      <x:c r="C126" t="str">
        <x:v>Meta Ads</x:v>
      </x:c>
      <x:c r="D126" t="str">
        <x:v>Retargeting</x:v>
      </x:c>
      <x:c r="E126" s="76" t="n">
        <x:v>1170.85</x:v>
      </x:c>
      <x:c r="F126" s="88" t="n">
        <x:v>65884</x:v>
      </x:c>
      <x:c r="G126" s="88" t="n">
        <x:v>2723</x:v>
      </x:c>
      <x:c r="H126" s="88" t="n">
        <x:v>470</x:v>
      </x:c>
      <x:c r="I126" s="88" t="n">
        <x:v>82</x:v>
      </x:c>
      <x:c r="J126" s="76" t="n">
        <x:v>33906.47</x:v>
      </x:c>
      <x:c r="K126" s="78" t="n">
        <x:f>G126/F126</x:f>
        <x:v>0.041330216744581386</x:v>
      </x:c>
      <x:c r="L126" s="78" t="n">
        <x:f>IFERROR(H126/G126,0)</x:f>
        <x:v>0.17260374586852736</x:v>
      </x:c>
      <x:c r="M126" s="76" t="n">
        <x:f>IFERROR(E126/H126,0)</x:f>
        <x:v>2.491170212765957</x:v>
      </x:c>
      <x:c r="N126" s="80" t="n">
        <x:f>IFERROR(J126/E126,0)</x:f>
        <x:v>28.95885040782338</x:v>
      </x:c>
    </x:row>
    <x:row r="127">
      <x:c r="A127" s="38" t="n">
        <x:v>46142</x:v>
      </x:c>
      <x:c r="B127" t="str">
        <x:v>2026-04</x:v>
      </x:c>
      <x:c r="C127" t="str">
        <x:v>Email</x:v>
      </x:c>
      <x:c r="D127" t="str">
        <x:v>Lead Magnet</x:v>
      </x:c>
      <x:c r="E127" s="76" t="n">
        <x:v>193.77</x:v>
      </x:c>
      <x:c r="F127" s="88" t="n">
        <x:v>16369</x:v>
      </x:c>
      <x:c r="G127" s="88" t="n">
        <x:v>95</x:v>
      </x:c>
      <x:c r="H127" s="88" t="n">
        <x:v>2</x:v>
      </x:c>
      <x:c r="I127" s="88" t="n">
        <x:v>0</x:v>
      </x:c>
      <x:c r="J127" s="76" t="n">
        <x:v>0</x:v>
      </x:c>
      <x:c r="K127" s="78" t="n">
        <x:f>G127/F127</x:f>
        <x:v>0.005803653246991264</x:v>
      </x:c>
      <x:c r="L127" s="78" t="n">
        <x:f>IFERROR(H127/G127,0)</x:f>
        <x:v>0.021052631578947368</x:v>
      </x:c>
      <x:c r="M127" s="76" t="n">
        <x:f>IFERROR(E127/H127,0)</x:f>
        <x:v>96.885</x:v>
      </x:c>
      <x:c r="N127" s="80" t="n">
        <x:f>IFERROR(J127/E127,0)</x:f>
        <x:v>0</x:v>
      </x:c>
    </x:row>
    <x:row r="128">
      <x:c r="A128" s="38" t="n">
        <x:v>46147</x:v>
      </x:c>
      <x:c r="B128" t="str">
        <x:v>2026-05</x:v>
      </x:c>
      <x:c r="C128" t="str">
        <x:v>Google Ads</x:v>
      </x:c>
      <x:c r="D128" t="str">
        <x:v>Brand</x:v>
      </x:c>
      <x:c r="E128" s="76" t="n">
        <x:v>1020.7</x:v>
      </x:c>
      <x:c r="F128" s="88" t="n">
        <x:v>64419</x:v>
      </x:c>
      <x:c r="G128" s="88" t="n">
        <x:v>4489</x:v>
      </x:c>
      <x:c r="H128" s="88" t="n">
        <x:v>743</x:v>
      </x:c>
      <x:c r="I128" s="88" t="n">
        <x:v>203</x:v>
      </x:c>
      <x:c r="J128" s="76" t="n">
        <x:v>42028.25</x:v>
      </x:c>
      <x:c r="K128" s="78" t="n">
        <x:f>G128/F128</x:f>
        <x:v>0.06968440987907294</x:v>
      </x:c>
      <x:c r="L128" s="78" t="n">
        <x:f>IFERROR(H128/G128,0)</x:f>
        <x:v>0.16551570505680552</x:v>
      </x:c>
      <x:c r="M128" s="76" t="n">
        <x:f>IFERROR(E128/H128,0)</x:f>
        <x:v>1.3737550471063258</x:v>
      </x:c>
      <x:c r="N128" s="80" t="n">
        <x:f>IFERROR(J128/E128,0)</x:f>
        <x:v>41.175908690114625</x:v>
      </x:c>
    </x:row>
    <x:row r="129">
      <x:c r="A129" s="38" t="n">
        <x:v>46148</x:v>
      </x:c>
      <x:c r="B129" t="str">
        <x:v>2026-05</x:v>
      </x:c>
      <x:c r="C129" t="str">
        <x:v>Google Ads</x:v>
      </x:c>
      <x:c r="D129" t="str">
        <x:v>Seasonal</x:v>
      </x:c>
      <x:c r="E129" s="76" t="n">
        <x:v>758.53</x:v>
      </x:c>
      <x:c r="F129" s="88" t="n">
        <x:v>88545</x:v>
      </x:c>
      <x:c r="G129" s="88" t="n">
        <x:v>2359</x:v>
      </x:c>
      <x:c r="H129" s="88" t="n">
        <x:v>68</x:v>
      </x:c>
      <x:c r="I129" s="88" t="n">
        <x:v>11</x:v>
      </x:c>
      <x:c r="J129" s="76" t="n">
        <x:v>840.65</x:v>
      </x:c>
      <x:c r="K129" s="78" t="n">
        <x:f>G129/F129</x:f>
        <x:v>0.02664182054322661</x:v>
      </x:c>
      <x:c r="L129" s="78" t="n">
        <x:f>IFERROR(H129/G129,0)</x:f>
        <x:v>0.028825773632895294</x:v>
      </x:c>
      <x:c r="M129" s="76" t="n">
        <x:f>IFERROR(E129/H129,0)</x:f>
        <x:v>11.15485294117647</x:v>
      </x:c>
      <x:c r="N129" s="80" t="n">
        <x:f>IFERROR(J129/E129,0)</x:f>
        <x:v>1.108262033143053</x:v>
      </x:c>
    </x:row>
    <x:row r="130">
      <x:c r="A130" s="38" t="n">
        <x:v>46203</x:v>
      </x:c>
      <x:c r="B130" t="str">
        <x:v>2026-06</x:v>
      </x:c>
      <x:c r="C130" t="str">
        <x:v>Organic Search</x:v>
      </x:c>
      <x:c r="D130" t="str">
        <x:v>Lead Magnet</x:v>
      </x:c>
      <x:c r="E130" s="76" t="n">
        <x:v>156.45</x:v>
      </x:c>
      <x:c r="F130" s="88" t="n">
        <x:v>50732</x:v>
      </x:c>
      <x:c r="G130" s="88" t="n">
        <x:v>2148</x:v>
      </x:c>
      <x:c r="H130" s="88" t="n">
        <x:v>311</x:v>
      </x:c>
      <x:c r="I130" s="88" t="n">
        <x:v>34</x:v>
      </x:c>
      <x:c r="J130" s="76" t="n">
        <x:v>6816.73</x:v>
      </x:c>
      <x:c r="K130" s="78" t="n">
        <x:f>G130/F130</x:f>
        <x:v>0.04234014034534416</x:v>
      </x:c>
      <x:c r="L130" s="78" t="n">
        <x:f>IFERROR(H130/G130,0)</x:f>
        <x:v>0.14478584729981378</x:v>
      </x:c>
      <x:c r="M130" s="76" t="n">
        <x:f>IFERROR(E130/H130,0)</x:f>
        <x:v>0.5030546623794212</x:v>
      </x:c>
      <x:c r="N130" s="80" t="n">
        <x:f>IFERROR(J130/E130,0)</x:f>
        <x:v>43.571300735059125</x:v>
      </x:c>
    </x:row>
    <x:row r="131">
      <x:c r="A131" s="38" t="n">
        <x:v>46071</x:v>
      </x:c>
      <x:c r="B131" t="str">
        <x:v>2026-02</x:v>
      </x:c>
      <x:c r="C131" t="str">
        <x:v>Email</x:v>
      </x:c>
      <x:c r="D131" t="str">
        <x:v>Seasonal</x:v>
      </x:c>
      <x:c r="E131" s="76" t="n">
        <x:v>195.01</x:v>
      </x:c>
      <x:c r="F131" s="88" t="n">
        <x:v>30351</x:v>
      </x:c>
      <x:c r="G131" s="88" t="n">
        <x:v>171</x:v>
      </x:c>
      <x:c r="H131" s="88" t="n">
        <x:v>18</x:v>
      </x:c>
      <x:c r="I131" s="88" t="n">
        <x:v>3</x:v>
      </x:c>
      <x:c r="J131" s="76" t="n">
        <x:v>1231.52</x:v>
      </x:c>
      <x:c r="K131" s="78" t="n">
        <x:f>G131/F131</x:f>
        <x:v>0.0056340812493822275</x:v>
      </x:c>
      <x:c r="L131" s="78" t="n">
        <x:f>IFERROR(H131/G131,0)</x:f>
        <x:v>0.10526315789473684</x:v>
      </x:c>
      <x:c r="M131" s="76" t="n">
        <x:f>IFERROR(E131/H131,0)</x:f>
        <x:v>10.833888888888888</x:v>
      </x:c>
      <x:c r="N131" s="80" t="n">
        <x:f>IFERROR(J131/E131,0)</x:f>
        <x:v>6.315163324957695</x:v>
      </x:c>
    </x:row>
    <x:row r="132">
      <x:c r="A132" s="38" t="n">
        <x:v>46073</x:v>
      </x:c>
      <x:c r="B132" t="str">
        <x:v>2026-02</x:v>
      </x:c>
      <x:c r="C132" t="str">
        <x:v>Organic Search</x:v>
      </x:c>
      <x:c r="D132" t="str">
        <x:v>Brand</x:v>
      </x:c>
      <x:c r="E132" s="76" t="n">
        <x:v>33.02</x:v>
      </x:c>
      <x:c r="F132" s="88" t="n">
        <x:v>31171</x:v>
      </x:c>
      <x:c r="G132" s="88" t="n">
        <x:v>1758</x:v>
      </x:c>
      <x:c r="H132" s="88" t="n">
        <x:v>258</x:v>
      </x:c>
      <x:c r="I132" s="88" t="n">
        <x:v>85</x:v>
      </x:c>
      <x:c r="J132" s="76" t="n">
        <x:v>35089.15</x:v>
      </x:c>
      <x:c r="K132" s="78" t="n">
        <x:f>G132/F132</x:f>
        <x:v>0.05639857559911456</x:v>
      </x:c>
      <x:c r="L132" s="78" t="n">
        <x:f>IFERROR(H132/G132,0)</x:f>
        <x:v>0.14675767918088736</x:v>
      </x:c>
      <x:c r="M132" s="76" t="n">
        <x:f>IFERROR(E132/H132,0)</x:f>
        <x:v>0.127984496124031</x:v>
      </x:c>
      <x:c r="N132" s="80" t="n">
        <x:f>IFERROR(J132/E132,0)</x:f>
        <x:v>1062.6635372501514</x:v>
      </x:c>
    </x:row>
    <x:row r="133">
      <x:c r="A133" s="38" t="n">
        <x:v>46107</x:v>
      </x:c>
      <x:c r="B133" t="str">
        <x:v>2026-03</x:v>
      </x:c>
      <x:c r="C133" t="str">
        <x:v>Influencers</x:v>
      </x:c>
      <x:c r="D133" t="str">
        <x:v>Seasonal</x:v>
      </x:c>
      <x:c r="E133" s="76" t="n">
        <x:v>153.39</x:v>
      </x:c>
      <x:c r="F133" s="88" t="n">
        <x:v>25086</x:v>
      </x:c>
      <x:c r="G133" s="88" t="n">
        <x:v>156</x:v>
      </x:c>
      <x:c r="H133" s="88" t="n">
        <x:v>8</x:v>
      </x:c>
      <x:c r="I133" s="88" t="n">
        <x:v>1</x:v>
      </x:c>
      <x:c r="J133" s="76" t="n">
        <x:v>78.42</x:v>
      </x:c>
      <x:c r="K133" s="78" t="n">
        <x:f>G133/F133</x:f>
        <x:v>0.006218607988519493</x:v>
      </x:c>
      <x:c r="L133" s="78" t="n">
        <x:f>IFERROR(H133/G133,0)</x:f>
        <x:v>0.05128205128205128</x:v>
      </x:c>
      <x:c r="M133" s="76" t="n">
        <x:f>IFERROR(E133/H133,0)</x:f>
        <x:v>19.17375</x:v>
      </x:c>
      <x:c r="N133" s="80" t="n">
        <x:f>IFERROR(J133/E133,0)</x:f>
        <x:v>0.5112458439272444</x:v>
      </x:c>
    </x:row>
    <x:row r="134">
      <x:c r="A134" s="38" t="n">
        <x:v>46080</x:v>
      </x:c>
      <x:c r="B134" t="str">
        <x:v>2026-02</x:v>
      </x:c>
      <x:c r="C134" t="str">
        <x:v>Google Ads</x:v>
      </x:c>
      <x:c r="D134" t="str">
        <x:v>Brand</x:v>
      </x:c>
      <x:c r="E134" s="76" t="n">
        <x:v>791.12</x:v>
      </x:c>
      <x:c r="F134" s="88" t="n">
        <x:v>64059</x:v>
      </x:c>
      <x:c r="G134" s="88" t="n">
        <x:v>1572</x:v>
      </x:c>
      <x:c r="H134" s="88" t="n">
        <x:v>127</x:v>
      </x:c>
      <x:c r="I134" s="88" t="n">
        <x:v>41</x:v>
      </x:c>
      <x:c r="J134" s="76" t="n">
        <x:v>16542.85</x:v>
      </x:c>
      <x:c r="K134" s="78" t="n">
        <x:f>G134/F134</x:f>
        <x:v>0.024539877300613498</x:v>
      </x:c>
      <x:c r="L134" s="78" t="n">
        <x:f>IFERROR(H134/G134,0)</x:f>
        <x:v>0.08078880407124682</x:v>
      </x:c>
      <x:c r="M134" s="76" t="n">
        <x:f>IFERROR(E134/H134,0)</x:f>
        <x:v>6.229291338582677</x:v>
      </x:c>
      <x:c r="N134" s="80" t="n">
        <x:f>IFERROR(J134/E134,0)</x:f>
        <x:v>20.910670947517442</x:v>
      </x:c>
    </x:row>
    <x:row r="135">
      <x:c r="A135" s="38" t="n">
        <x:v>46093</x:v>
      </x:c>
      <x:c r="B135" t="str">
        <x:v>2026-03</x:v>
      </x:c>
      <x:c r="C135" t="str">
        <x:v>Organic Search</x:v>
      </x:c>
      <x:c r="D135" t="str">
        <x:v>Promo</x:v>
      </x:c>
      <x:c r="E135" s="76" t="n">
        <x:v>19.48</x:v>
      </x:c>
      <x:c r="F135" s="88" t="n">
        <x:v>49308</x:v>
      </x:c>
      <x:c r="G135" s="88" t="n">
        <x:v>804</x:v>
      </x:c>
      <x:c r="H135" s="88" t="n">
        <x:v>44</x:v>
      </x:c>
      <x:c r="I135" s="88" t="n">
        <x:v>11</x:v>
      </x:c>
      <x:c r="J135" s="76" t="n">
        <x:v>4725.78</x:v>
      </x:c>
      <x:c r="K135" s="78" t="n">
        <x:f>G135/F135</x:f>
        <x:v>0.016305670479435385</x:v>
      </x:c>
      <x:c r="L135" s="78" t="n">
        <x:f>IFERROR(H135/G135,0)</x:f>
        <x:v>0.05472636815920398</x:v>
      </x:c>
      <x:c r="M135" s="76" t="n">
        <x:f>IFERROR(E135/H135,0)</x:f>
        <x:v>0.44272727272727275</x:v>
      </x:c>
      <x:c r="N135" s="80" t="n">
        <x:f>IFERROR(J135/E135,0)</x:f>
        <x:v>242.59650924024638</x:v>
      </x:c>
    </x:row>
    <x:row r="136">
      <x:c r="A136" s="38" t="n">
        <x:v>46053</x:v>
      </x:c>
      <x:c r="B136" t="str">
        <x:v>2026-01</x:v>
      </x:c>
      <x:c r="C136" t="str">
        <x:v>Influencers</x:v>
      </x:c>
      <x:c r="D136" t="str">
        <x:v>Promo</x:v>
      </x:c>
      <x:c r="E136" s="76" t="n">
        <x:v>398.07</x:v>
      </x:c>
      <x:c r="F136" s="88" t="n">
        <x:v>2102</x:v>
      </x:c>
      <x:c r="G136" s="88" t="n">
        <x:v>17</x:v>
      </x:c>
      <x:c r="H136" s="88" t="n">
        <x:v>1</x:v>
      </x:c>
      <x:c r="I136" s="88" t="n">
        <x:v>0</x:v>
      </x:c>
      <x:c r="J136" s="76" t="n">
        <x:v>0</x:v>
      </x:c>
      <x:c r="K136" s="78" t="n">
        <x:f>G136/F136</x:f>
        <x:v>0.008087535680304472</x:v>
      </x:c>
      <x:c r="L136" s="78" t="n">
        <x:f>IFERROR(H136/G136,0)</x:f>
        <x:v>0.058823529411764705</x:v>
      </x:c>
      <x:c r="M136" s="76" t="n">
        <x:f>IFERROR(E136/H136,0)</x:f>
        <x:v>398.07</x:v>
      </x:c>
      <x:c r="N136" s="80" t="n">
        <x:f>IFERROR(J136/E136,0)</x:f>
        <x:v>0</x:v>
      </x:c>
    </x:row>
    <x:row r="137">
      <x:c r="A137" s="38" t="n">
        <x:v>46202</x:v>
      </x:c>
      <x:c r="B137" t="str">
        <x:v>2026-06</x:v>
      </x:c>
      <x:c r="C137" t="str">
        <x:v>Influencers</x:v>
      </x:c>
      <x:c r="D137" t="str">
        <x:v>Brand</x:v>
      </x:c>
      <x:c r="E137" s="76" t="n">
        <x:v>529.53</x:v>
      </x:c>
      <x:c r="F137" s="88" t="n">
        <x:v>37883</x:v>
      </x:c>
      <x:c r="G137" s="88" t="n">
        <x:v>666</x:v>
      </x:c>
      <x:c r="H137" s="88" t="n">
        <x:v>95</x:v>
      </x:c>
      <x:c r="I137" s="88" t="n">
        <x:v>24</x:v>
      </x:c>
      <x:c r="J137" s="76" t="n">
        <x:v>10111.79</x:v>
      </x:c>
      <x:c r="K137" s="78" t="n">
        <x:f>G137/F137</x:f>
        <x:v>0.01758044505450994</x:v>
      </x:c>
      <x:c r="L137" s="78" t="n">
        <x:f>IFERROR(H137/G137,0)</x:f>
        <x:v>0.14264264264264265</x:v>
      </x:c>
      <x:c r="M137" s="76" t="n">
        <x:f>IFERROR(E137/H137,0)</x:f>
        <x:v>5.574</x:v>
      </x:c>
      <x:c r="N137" s="80" t="n">
        <x:f>IFERROR(J137/E137,0)</x:f>
        <x:v>19.095783052895968</x:v>
      </x:c>
    </x:row>
    <x:row r="138">
      <x:c r="A138" s="38" t="n">
        <x:v>46029</x:v>
      </x:c>
      <x:c r="B138" t="str">
        <x:v>2026-01</x:v>
      </x:c>
      <x:c r="C138" t="str">
        <x:v>Email</x:v>
      </x:c>
      <x:c r="D138" t="str">
        <x:v>Retargeting</x:v>
      </x:c>
      <x:c r="E138" s="76" t="n">
        <x:v>78.28</x:v>
      </x:c>
      <x:c r="F138" s="88" t="n">
        <x:v>75733</x:v>
      </x:c>
      <x:c r="G138" s="88" t="n">
        <x:v>3824</x:v>
      </x:c>
      <x:c r="H138" s="88" t="n">
        <x:v>542</x:v>
      </x:c>
      <x:c r="I138" s="88" t="n">
        <x:v>82</x:v>
      </x:c>
      <x:c r="J138" s="76" t="n">
        <x:v>8208.06</x:v>
      </x:c>
      <x:c r="K138" s="78" t="n">
        <x:f>G138/F138</x:f>
        <x:v>0.050493179987587976</x:v>
      </x:c>
      <x:c r="L138" s="78" t="n">
        <x:f>IFERROR(H138/G138,0)</x:f>
        <x:v>0.14173640167364016</x:v>
      </x:c>
      <x:c r="M138" s="76" t="n">
        <x:f>IFERROR(E138/H138,0)</x:f>
        <x:v>0.1444280442804428</x:v>
      </x:c>
      <x:c r="N138" s="80" t="n">
        <x:f>IFERROR(J138/E138,0)</x:f>
        <x:v>104.85513541134388</x:v>
      </x:c>
    </x:row>
    <x:row r="139">
      <x:c r="A139" s="38" t="n">
        <x:v>46193</x:v>
      </x:c>
      <x:c r="B139" t="str">
        <x:v>2026-06</x:v>
      </x:c>
      <x:c r="C139" t="str">
        <x:v>TikTok Ads</x:v>
      </x:c>
      <x:c r="D139" t="str">
        <x:v>Seasonal</x:v>
      </x:c>
      <x:c r="E139" s="76" t="n">
        <x:v>677.53</x:v>
      </x:c>
      <x:c r="F139" s="88" t="n">
        <x:v>27078</x:v>
      </x:c>
      <x:c r="G139" s="88" t="n">
        <x:v>223</x:v>
      </x:c>
      <x:c r="H139" s="88" t="n">
        <x:v>29</x:v>
      </x:c>
      <x:c r="I139" s="88" t="n">
        <x:v>3</x:v>
      </x:c>
      <x:c r="J139" s="76" t="n">
        <x:v>634.18</x:v>
      </x:c>
      <x:c r="K139" s="78" t="n">
        <x:f>G139/F139</x:f>
        <x:v>0.008235467907526405</x:v>
      </x:c>
      <x:c r="L139" s="78" t="n">
        <x:f>IFERROR(H139/G139,0)</x:f>
        <x:v>0.13004484304932734</x:v>
      </x:c>
      <x:c r="M139" s="76" t="n">
        <x:f>IFERROR(E139/H139,0)</x:f>
        <x:v>23.36310344827586</x:v>
      </x:c>
      <x:c r="N139" s="80" t="n">
        <x:f>IFERROR(J139/E139,0)</x:f>
        <x:v>0.936017593316901</x:v>
      </x:c>
    </x:row>
    <x:row r="140">
      <x:c r="A140" s="38" t="n">
        <x:v>46079</x:v>
      </x:c>
      <x:c r="B140" t="str">
        <x:v>2026-02</x:v>
      </x:c>
      <x:c r="C140" t="str">
        <x:v>Organic Search</x:v>
      </x:c>
      <x:c r="D140" t="str">
        <x:v>Retargeting</x:v>
      </x:c>
      <x:c r="E140" s="76" t="n">
        <x:v>133.38</x:v>
      </x:c>
      <x:c r="F140" s="88" t="n">
        <x:v>64628</x:v>
      </x:c>
      <x:c r="G140" s="88" t="n">
        <x:v>1361</x:v>
      </x:c>
      <x:c r="H140" s="88" t="n">
        <x:v>197</x:v>
      </x:c>
      <x:c r="I140" s="88" t="n">
        <x:v>54</x:v>
      </x:c>
      <x:c r="J140" s="76" t="n">
        <x:v>20505.94</x:v>
      </x:c>
      <x:c r="K140" s="78" t="n">
        <x:f>G140/F140</x:f>
        <x:v>0.02105898372222566</x:v>
      </x:c>
      <x:c r="L140" s="78" t="n">
        <x:f>IFERROR(H140/G140,0)</x:f>
        <x:v>0.14474650991917706</x:v>
      </x:c>
      <x:c r="M140" s="76" t="n">
        <x:f>IFERROR(E140/H140,0)</x:f>
        <x:v>0.6770558375634518</x:v>
      </x:c>
      <x:c r="N140" s="80" t="n">
        <x:f>IFERROR(J140/E140,0)</x:f>
        <x:v>153.74074074074073</x:v>
      </x:c>
    </x:row>
    <x:row r="141">
      <x:c r="A141" s="38" t="n">
        <x:v>46173</x:v>
      </x:c>
      <x:c r="B141" t="str">
        <x:v>2026-05</x:v>
      </x:c>
      <x:c r="C141" t="str">
        <x:v>Meta Ads</x:v>
      </x:c>
      <x:c r="D141" t="str">
        <x:v>Launch</x:v>
      </x:c>
      <x:c r="E141" s="76" t="n">
        <x:v>895.91</x:v>
      </x:c>
      <x:c r="F141" s="88" t="n">
        <x:v>36501</x:v>
      </x:c>
      <x:c r="G141" s="88" t="n">
        <x:v>1835</x:v>
      </x:c>
      <x:c r="H141" s="88" t="n">
        <x:v>250</x:v>
      </x:c>
      <x:c r="I141" s="88" t="n">
        <x:v>68</x:v>
      </x:c>
      <x:c r="J141" s="76" t="n">
        <x:v>24388.97</x:v>
      </x:c>
      <x:c r="K141" s="78" t="n">
        <x:f>G141/F141</x:f>
        <x:v>0.05027259527136243</x:v>
      </x:c>
      <x:c r="L141" s="78" t="n">
        <x:f>IFERROR(H141/G141,0)</x:f>
        <x:v>0.1362397820163488</x:v>
      </x:c>
      <x:c r="M141" s="76" t="n">
        <x:f>IFERROR(E141/H141,0)</x:f>
        <x:v>3.58364</x:v>
      </x:c>
      <x:c r="N141" s="80" t="n">
        <x:f>IFERROR(J141/E141,0)</x:f>
        <x:v>27.222566998917305</x:v>
      </x:c>
    </x:row>
    <x:row r="142">
      <x:c r="A142" s="38" t="n">
        <x:v>46089</x:v>
      </x:c>
      <x:c r="B142" t="str">
        <x:v>2026-03</x:v>
      </x:c>
      <x:c r="C142" t="str">
        <x:v>Meta Ads</x:v>
      </x:c>
      <x:c r="D142" t="str">
        <x:v>Seasonal</x:v>
      </x:c>
      <x:c r="E142" s="76" t="n">
        <x:v>410.93</x:v>
      </x:c>
      <x:c r="F142" s="88" t="n">
        <x:v>12177</x:v>
      </x:c>
      <x:c r="G142" s="88" t="n">
        <x:v>277</x:v>
      </x:c>
      <x:c r="H142" s="88" t="n">
        <x:v>45</x:v>
      </x:c>
      <x:c r="I142" s="88" t="n">
        <x:v>13</x:v>
      </x:c>
      <x:c r="J142" s="76" t="n">
        <x:v>5239.26</x:v>
      </x:c>
      <x:c r="K142" s="78" t="n">
        <x:f>G142/F142</x:f>
        <x:v>0.022747803235608113</x:v>
      </x:c>
      <x:c r="L142" s="78" t="n">
        <x:f>IFERROR(H142/G142,0)</x:f>
        <x:v>0.1624548736462094</x:v>
      </x:c>
      <x:c r="M142" s="76" t="n">
        <x:f>IFERROR(E142/H142,0)</x:f>
        <x:v>9.131777777777778</x:v>
      </x:c>
      <x:c r="N142" s="80" t="n">
        <x:f>IFERROR(J142/E142,0)</x:f>
        <x:v>12.749762733312243</x:v>
      </x:c>
    </x:row>
    <x:row r="143">
      <x:c r="A143" s="38" t="n">
        <x:v>46101</x:v>
      </x:c>
      <x:c r="B143" t="str">
        <x:v>2026-03</x:v>
      </x:c>
      <x:c r="C143" t="str">
        <x:v>Influencers</x:v>
      </x:c>
      <x:c r="D143" t="str">
        <x:v>Retargeting</x:v>
      </x:c>
      <x:c r="E143" s="76" t="n">
        <x:v>537.76</x:v>
      </x:c>
      <x:c r="F143" s="88" t="n">
        <x:v>28830</x:v>
      </x:c>
      <x:c r="G143" s="88" t="n">
        <x:v>1429</x:v>
      </x:c>
      <x:c r="H143" s="88" t="n">
        <x:v>53</x:v>
      </x:c>
      <x:c r="I143" s="88" t="n">
        <x:v>17</x:v>
      </x:c>
      <x:c r="J143" s="76" t="n">
        <x:v>6401.99</x:v>
      </x:c>
      <x:c r="K143" s="78" t="n">
        <x:f>G143/F143</x:f>
        <x:v>0.049566423864030526</x:v>
      </x:c>
      <x:c r="L143" s="78" t="n">
        <x:f>IFERROR(H143/G143,0)</x:f>
        <x:v>0.0370888733379986</x:v>
      </x:c>
      <x:c r="M143" s="76" t="n">
        <x:f>IFERROR(E143/H143,0)</x:f>
        <x:v>10.146415094339622</x:v>
      </x:c>
      <x:c r="N143" s="80" t="n">
        <x:f>IFERROR(J143/E143,0)</x:f>
        <x:v>11.904920410592085</x:v>
      </x:c>
    </x:row>
    <x:row r="144">
      <x:c r="A144" s="38" t="n">
        <x:v>46116</x:v>
      </x:c>
      <x:c r="B144" t="str">
        <x:v>2026-04</x:v>
      </x:c>
      <x:c r="C144" t="str">
        <x:v>Google Ads</x:v>
      </x:c>
      <x:c r="D144" t="str">
        <x:v>Lead Magnet</x:v>
      </x:c>
      <x:c r="E144" s="76" t="n">
        <x:v>283.93</x:v>
      </x:c>
      <x:c r="F144" s="88" t="n">
        <x:v>76864</x:v>
      </x:c>
      <x:c r="G144" s="88" t="n">
        <x:v>849</x:v>
      </x:c>
      <x:c r="H144" s="88" t="n">
        <x:v>32</x:v>
      </x:c>
      <x:c r="I144" s="88" t="n">
        <x:v>8</x:v>
      </x:c>
      <x:c r="J144" s="76" t="n">
        <x:v>911.57</x:v>
      </x:c>
      <x:c r="K144" s="78" t="n">
        <x:f>G144/F144</x:f>
        <x:v>0.011045482930890924</x:v>
      </x:c>
      <x:c r="L144" s="78" t="n">
        <x:f>IFERROR(H144/G144,0)</x:f>
        <x:v>0.03769140164899882</x:v>
      </x:c>
      <x:c r="M144" s="76" t="n">
        <x:f>IFERROR(E144/H144,0)</x:f>
        <x:v>8.8728125</x:v>
      </x:c>
      <x:c r="N144" s="80" t="n">
        <x:f>IFERROR(J144/E144,0)</x:f>
        <x:v>3.2105448526045155</x:v>
      </x:c>
    </x:row>
    <x:row r="145">
      <x:c r="A145" s="38" t="n">
        <x:v>46149</x:v>
      </x:c>
      <x:c r="B145" t="str">
        <x:v>2026-05</x:v>
      </x:c>
      <x:c r="C145" t="str">
        <x:v>Meta Ads</x:v>
      </x:c>
      <x:c r="D145" t="str">
        <x:v>Promo</x:v>
      </x:c>
      <x:c r="E145" s="76" t="n">
        <x:v>925.7</x:v>
      </x:c>
      <x:c r="F145" s="88" t="n">
        <x:v>56929</x:v>
      </x:c>
      <x:c r="G145" s="88" t="n">
        <x:v>2546</x:v>
      </x:c>
      <x:c r="H145" s="88" t="n">
        <x:v>448</x:v>
      </x:c>
      <x:c r="I145" s="88" t="n">
        <x:v>98</x:v>
      </x:c>
      <x:c r="J145" s="76" t="n">
        <x:v>8563.27</x:v>
      </x:c>
      <x:c r="K145" s="78" t="n">
        <x:f>G145/F145</x:f>
        <x:v>0.044722373482759224</x:v>
      </x:c>
      <x:c r="L145" s="78" t="n">
        <x:f>IFERROR(H145/G145,0)</x:f>
        <x:v>0.17596229379418696</x:v>
      </x:c>
      <x:c r="M145" s="76" t="n">
        <x:f>IFERROR(E145/H145,0)</x:f>
        <x:v>2.066294642857143</x:v>
      </x:c>
      <x:c r="N145" s="80" t="n">
        <x:f>IFERROR(J145/E145,0)</x:f>
        <x:v>9.250588743653452</x:v>
      </x:c>
    </x:row>
    <x:row r="146">
      <x:c r="A146" s="38" t="n">
        <x:v>46167</x:v>
      </x:c>
      <x:c r="B146" t="str">
        <x:v>2026-05</x:v>
      </x:c>
      <x:c r="C146" t="str">
        <x:v>Meta Ads</x:v>
      </x:c>
      <x:c r="D146" t="str">
        <x:v>Lead Magnet</x:v>
      </x:c>
      <x:c r="E146" s="76" t="n">
        <x:v>355.82</x:v>
      </x:c>
      <x:c r="F146" s="88" t="n">
        <x:v>65843</x:v>
      </x:c>
      <x:c r="G146" s="88" t="n">
        <x:v>4372</x:v>
      </x:c>
      <x:c r="H146" s="88" t="n">
        <x:v>605</x:v>
      </x:c>
      <x:c r="I146" s="88" t="n">
        <x:v>56</x:v>
      </x:c>
      <x:c r="J146" s="76" t="n">
        <x:v>8491.66</x:v>
      </x:c>
      <x:c r="K146" s="78" t="n">
        <x:f>G146/F146</x:f>
        <x:v>0.06640037665355467</x:v>
      </x:c>
      <x:c r="L146" s="78" t="n">
        <x:f>IFERROR(H146/G146,0)</x:f>
        <x:v>0.13838060384263495</x:v>
      </x:c>
      <x:c r="M146" s="76" t="n">
        <x:f>IFERROR(E146/H146,0)</x:f>
        <x:v>0.5881322314049586</x:v>
      </x:c>
      <x:c r="N146" s="80" t="n">
        <x:f>IFERROR(J146/E146,0)</x:f>
        <x:v>23.865044123433197</x:v>
      </x:c>
    </x:row>
    <x:row r="147">
      <x:c r="A147" s="38" t="n">
        <x:v>46128</x:v>
      </x:c>
      <x:c r="B147" t="str">
        <x:v>2026-04</x:v>
      </x:c>
      <x:c r="C147" t="str">
        <x:v>Influencers</x:v>
      </x:c>
      <x:c r="D147" t="str">
        <x:v>Brand</x:v>
      </x:c>
      <x:c r="E147" s="76" t="n">
        <x:v>1087.82</x:v>
      </x:c>
      <x:c r="F147" s="88" t="n">
        <x:v>82465</x:v>
      </x:c>
      <x:c r="G147" s="88" t="n">
        <x:v>4279</x:v>
      </x:c>
      <x:c r="H147" s="88" t="n">
        <x:v>271</x:v>
      </x:c>
      <x:c r="I147" s="88" t="n">
        <x:v>40</x:v>
      </x:c>
      <x:c r="J147" s="76" t="n">
        <x:v>7958.3</x:v>
      </x:c>
      <x:c r="K147" s="78" t="n">
        <x:f>G147/F147</x:f>
        <x:v>0.05188868004608015</x:v>
      </x:c>
      <x:c r="L147" s="78" t="n">
        <x:f>IFERROR(H147/G147,0)</x:f>
        <x:v>0.06333255433512502</x:v>
      </x:c>
      <x:c r="M147" s="76" t="n">
        <x:f>IFERROR(E147/H147,0)</x:f>
        <x:v>4.014095940959409</x:v>
      </x:c>
      <x:c r="N147" s="80" t="n">
        <x:f>IFERROR(J147/E147,0)</x:f>
        <x:v>7.315824309168797</x:v>
      </x:c>
    </x:row>
    <x:row r="148">
      <x:c r="A148" s="38" t="n">
        <x:v>46155</x:v>
      </x:c>
      <x:c r="B148" t="str">
        <x:v>2026-05</x:v>
      </x:c>
      <x:c r="C148" t="str">
        <x:v>Google Ads</x:v>
      </x:c>
      <x:c r="D148" t="str">
        <x:v>Retargeting</x:v>
      </x:c>
      <x:c r="E148" s="76" t="n">
        <x:v>433.96</x:v>
      </x:c>
      <x:c r="F148" s="88" t="n">
        <x:v>81893</x:v>
      </x:c>
      <x:c r="G148" s="88" t="n">
        <x:v>4167</x:v>
      </x:c>
      <x:c r="H148" s="88" t="n">
        <x:v>449</x:v>
      </x:c>
      <x:c r="I148" s="88" t="n">
        <x:v>142</x:v>
      </x:c>
      <x:c r="J148" s="76" t="n">
        <x:v>41180.11</x:v>
      </x:c>
      <x:c r="K148" s="78" t="n">
        <x:f>G148/F148</x:f>
        <x:v>0.0508834698936417</x:v>
      </x:c>
      <x:c r="L148" s="78" t="n">
        <x:f>IFERROR(H148/G148,0)</x:f>
        <x:v>0.10775137988960883</x:v>
      </x:c>
      <x:c r="M148" s="76" t="n">
        <x:f>IFERROR(E148/H148,0)</x:f>
        <x:v>0.9665033407572383</x:v>
      </x:c>
      <x:c r="N148" s="80" t="n">
        <x:f>IFERROR(J148/E148,0)</x:f>
        <x:v>94.89379205456724</x:v>
      </x:c>
    </x:row>
    <x:row r="149">
      <x:c r="A149" s="38" t="n">
        <x:v>46120</x:v>
      </x:c>
      <x:c r="B149" t="str">
        <x:v>2026-04</x:v>
      </x:c>
      <x:c r="C149" t="str">
        <x:v>Organic Search</x:v>
      </x:c>
      <x:c r="D149" t="str">
        <x:v>Brand</x:v>
      </x:c>
      <x:c r="E149" s="76" t="n">
        <x:v>169.55</x:v>
      </x:c>
      <x:c r="F149" s="88" t="n">
        <x:v>35384</x:v>
      </x:c>
      <x:c r="G149" s="88" t="n">
        <x:v>1022</x:v>
      </x:c>
      <x:c r="H149" s="88" t="n">
        <x:v>115</x:v>
      </x:c>
      <x:c r="I149" s="88" t="n">
        <x:v>16</x:v>
      </x:c>
      <x:c r="J149" s="76" t="n">
        <x:v>4795.37</x:v>
      </x:c>
      <x:c r="K149" s="78" t="n">
        <x:f>G149/F149</x:f>
        <x:v>0.02888311101062627</x:v>
      </x:c>
      <x:c r="L149" s="78" t="n">
        <x:f>IFERROR(H149/G149,0)</x:f>
        <x:v>0.11252446183953033</x:v>
      </x:c>
      <x:c r="M149" s="76" t="n">
        <x:f>IFERROR(E149/H149,0)</x:f>
        <x:v>1.4743478260869567</x:v>
      </x:c>
      <x:c r="N149" s="80" t="n">
        <x:f>IFERROR(J149/E149,0)</x:f>
        <x:v>28.282925390740193</x:v>
      </x:c>
    </x:row>
    <x:row r="150">
      <x:c r="A150" s="38" t="n">
        <x:v>46040</x:v>
      </x:c>
      <x:c r="B150" t="str">
        <x:v>2026-01</x:v>
      </x:c>
      <x:c r="C150" t="str">
        <x:v>Organic Search</x:v>
      </x:c>
      <x:c r="D150" t="str">
        <x:v>Brand</x:v>
      </x:c>
      <x:c r="E150" s="76" t="n">
        <x:v>10.55</x:v>
      </x:c>
      <x:c r="F150" s="88" t="n">
        <x:v>38804</x:v>
      </x:c>
      <x:c r="G150" s="88" t="n">
        <x:v>210</x:v>
      </x:c>
      <x:c r="H150" s="88" t="n">
        <x:v>26</x:v>
      </x:c>
      <x:c r="I150" s="88" t="n">
        <x:v>3</x:v>
      </x:c>
      <x:c r="J150" s="76" t="n">
        <x:v>1321.9</x:v>
      </x:c>
      <x:c r="K150" s="78" t="n">
        <x:f>G150/F150</x:f>
        <x:v>0.00541181321513246</x:v>
      </x:c>
      <x:c r="L150" s="78" t="n">
        <x:f>IFERROR(H150/G150,0)</x:f>
        <x:v>0.12380952380952381</x:v>
      </x:c>
      <x:c r="M150" s="76" t="n">
        <x:f>IFERROR(E150/H150,0)</x:f>
        <x:v>0.40576923076923077</x:v>
      </x:c>
      <x:c r="N150" s="80" t="n">
        <x:f>IFERROR(J150/E150,0)</x:f>
        <x:v>125.29857819905213</x:v>
      </x:c>
    </x:row>
    <x:row r="151">
      <x:c r="A151" s="38" t="n">
        <x:v>46175</x:v>
      </x:c>
      <x:c r="B151" t="str">
        <x:v>2026-06</x:v>
      </x:c>
      <x:c r="C151" t="str">
        <x:v>Email</x:v>
      </x:c>
      <x:c r="D151" t="str">
        <x:v>Brand</x:v>
      </x:c>
      <x:c r="E151" s="76" t="n">
        <x:v>101.49</x:v>
      </x:c>
      <x:c r="F151" s="88" t="n">
        <x:v>67843</x:v>
      </x:c>
      <x:c r="G151" s="88" t="n">
        <x:v>2236</x:v>
      </x:c>
      <x:c r="H151" s="88" t="n">
        <x:v>262</x:v>
      </x:c>
      <x:c r="I151" s="88" t="n">
        <x:v>80</x:v>
      </x:c>
      <x:c r="J151" s="76" t="n">
        <x:v>10698.22</x:v>
      </x:c>
      <x:c r="K151" s="78" t="n">
        <x:f>G151/F151</x:f>
        <x:v>0.03295844818183158</x:v>
      </x:c>
      <x:c r="L151" s="78" t="n">
        <x:f>IFERROR(H151/G151,0)</x:f>
        <x:v>0.11717352415026834</x:v>
      </x:c>
      <x:c r="M151" s="76" t="n">
        <x:f>IFERROR(E151/H151,0)</x:f>
        <x:v>0.38736641221374046</x:v>
      </x:c>
      <x:c r="N151" s="80" t="n">
        <x:f>IFERROR(J151/E151,0)</x:f>
        <x:v>105.41156764213223</x:v>
      </x:c>
    </x:row>
    <x:row r="152">
      <x:c r="A152" s="38" t="n">
        <x:v>46036</x:v>
      </x:c>
      <x:c r="B152" t="str">
        <x:v>2026-01</x:v>
      </x:c>
      <x:c r="C152" t="str">
        <x:v>TikTok Ads</x:v>
      </x:c>
      <x:c r="D152" t="str">
        <x:v>Seasonal</x:v>
      </x:c>
      <x:c r="E152" s="76" t="n">
        <x:v>388.12</x:v>
      </x:c>
      <x:c r="F152" s="88" t="n">
        <x:v>31152</x:v>
      </x:c>
      <x:c r="G152" s="88" t="n">
        <x:v>1746</x:v>
      </x:c>
      <x:c r="H152" s="88" t="n">
        <x:v>76</x:v>
      </x:c>
      <x:c r="I152" s="88" t="n">
        <x:v>10</x:v>
      </x:c>
      <x:c r="J152" s="76" t="n">
        <x:v>909.68</x:v>
      </x:c>
      <x:c r="K152" s="78" t="n">
        <x:f>G152/F152</x:f>
        <x:v>0.056047765793528506</x:v>
      </x:c>
      <x:c r="L152" s="78" t="n">
        <x:f>IFERROR(H152/G152,0)</x:f>
        <x:v>0.043528064146620846</x:v>
      </x:c>
      <x:c r="M152" s="76" t="n">
        <x:f>IFERROR(E152/H152,0)</x:f>
        <x:v>5.106842105263158</x:v>
      </x:c>
      <x:c r="N152" s="80" t="n">
        <x:f>IFERROR(J152/E152,0)</x:f>
        <x:v>2.343811192414717</x:v>
      </x:c>
    </x:row>
    <x:row r="153">
      <x:c r="A153" s="38" t="n">
        <x:v>46097</x:v>
      </x:c>
      <x:c r="B153" t="str">
        <x:v>2026-03</x:v>
      </x:c>
      <x:c r="C153" t="str">
        <x:v>TikTok Ads</x:v>
      </x:c>
      <x:c r="D153" t="str">
        <x:v>Retargeting</x:v>
      </x:c>
      <x:c r="E153" s="76" t="n">
        <x:v>946.83</x:v>
      </x:c>
      <x:c r="F153" s="88" t="n">
        <x:v>62320</x:v>
      </x:c>
      <x:c r="G153" s="88" t="n">
        <x:v>2579</x:v>
      </x:c>
      <x:c r="H153" s="88" t="n">
        <x:v>297</x:v>
      </x:c>
      <x:c r="I153" s="88" t="n">
        <x:v>100</x:v>
      </x:c>
      <x:c r="J153" s="76" t="n">
        <x:v>22044.9</x:v>
      </x:c>
      <x:c r="K153" s="78" t="n">
        <x:f>G153/F153</x:f>
        <x:v>0.04138318356867779</x:v>
      </x:c>
      <x:c r="L153" s="78" t="n">
        <x:f>IFERROR(H153/G153,0)</x:f>
        <x:v>0.11516091508336565</x:v>
      </x:c>
      <x:c r="M153" s="76" t="n">
        <x:f>IFERROR(E153/H153,0)</x:f>
        <x:v>3.187979797979798</x:v>
      </x:c>
      <x:c r="N153" s="80" t="n">
        <x:f>IFERROR(J153/E153,0)</x:f>
        <x:v>23.28284908589715</x:v>
      </x:c>
    </x:row>
    <x:row r="154">
      <x:c r="A154" s="38" t="n">
        <x:v>46101</x:v>
      </x:c>
      <x:c r="B154" t="str">
        <x:v>2026-03</x:v>
      </x:c>
      <x:c r="C154" t="str">
        <x:v>Google Ads</x:v>
      </x:c>
      <x:c r="D154" t="str">
        <x:v>Lead Magnet</x:v>
      </x:c>
      <x:c r="E154" s="76" t="n">
        <x:v>525.06</x:v>
      </x:c>
      <x:c r="F154" s="88" t="n">
        <x:v>18287</x:v>
      </x:c>
      <x:c r="G154" s="88" t="n">
        <x:v>406</x:v>
      </x:c>
      <x:c r="H154" s="88" t="n">
        <x:v>12</x:v>
      </x:c>
      <x:c r="I154" s="88" t="n">
        <x:v>1</x:v>
      </x:c>
      <x:c r="J154" s="76" t="n">
        <x:v>206.1</x:v>
      </x:c>
      <x:c r="K154" s="78" t="n">
        <x:f>G154/F154</x:f>
        <x:v>0.022201563952534586</x:v>
      </x:c>
      <x:c r="L154" s="78" t="n">
        <x:f>IFERROR(H154/G154,0)</x:f>
        <x:v>0.029556650246305417</x:v>
      </x:c>
      <x:c r="M154" s="76" t="n">
        <x:f>IFERROR(E154/H154,0)</x:f>
        <x:v>43.754999999999995</x:v>
      </x:c>
      <x:c r="N154" s="80" t="n">
        <x:f>IFERROR(J154/E154,0)</x:f>
        <x:v>0.3925265683921838</x:v>
      </x:c>
    </x:row>
    <x:row r="155">
      <x:c r="A155" s="38" t="n">
        <x:v>46066</x:v>
      </x:c>
      <x:c r="B155" t="str">
        <x:v>2026-02</x:v>
      </x:c>
      <x:c r="C155" t="str">
        <x:v>TikTok Ads</x:v>
      </x:c>
      <x:c r="D155" t="str">
        <x:v>Seasonal</x:v>
      </x:c>
      <x:c r="E155" s="76" t="n">
        <x:v>512.6</x:v>
      </x:c>
      <x:c r="F155" s="88" t="n">
        <x:v>24016</x:v>
      </x:c>
      <x:c r="G155" s="88" t="n">
        <x:v>892</x:v>
      </x:c>
      <x:c r="H155" s="88" t="n">
        <x:v>34</x:v>
      </x:c>
      <x:c r="I155" s="88" t="n">
        <x:v>3</x:v>
      </x:c>
      <x:c r="J155" s="76" t="n">
        <x:v>314.93</x:v>
      </x:c>
      <x:c r="K155" s="78" t="n">
        <x:f>G155/F155</x:f>
        <x:v>0.0371419053964024</x:v>
      </x:c>
      <x:c r="L155" s="78" t="n">
        <x:f>IFERROR(H155/G155,0)</x:f>
        <x:v>0.03811659192825112</x:v>
      </x:c>
      <x:c r="M155" s="76" t="n">
        <x:f>IFERROR(E155/H155,0)</x:f>
        <x:v>15.076470588235296</x:v>
      </x:c>
      <x:c r="N155" s="80" t="n">
        <x:f>IFERROR(J155/E155,0)</x:f>
        <x:v>0.6143776824034335</x:v>
      </x:c>
    </x:row>
    <x:row r="156">
      <x:c r="A156" s="38" t="n">
        <x:v>46082</x:v>
      </x:c>
      <x:c r="B156" t="str">
        <x:v>2026-03</x:v>
      </x:c>
      <x:c r="C156" t="str">
        <x:v>TikTok Ads</x:v>
      </x:c>
      <x:c r="D156" t="str">
        <x:v>Lead Magnet</x:v>
      </x:c>
      <x:c r="E156" s="76" t="n">
        <x:v>191.91</x:v>
      </x:c>
      <x:c r="F156" s="88" t="n">
        <x:v>88931</x:v>
      </x:c>
      <x:c r="G156" s="88" t="n">
        <x:v>4102</x:v>
      </x:c>
      <x:c r="H156" s="88" t="n">
        <x:v>283</x:v>
      </x:c>
      <x:c r="I156" s="88" t="n">
        <x:v>79</x:v>
      </x:c>
      <x:c r="J156" s="76" t="n">
        <x:v>5941.6</x:v>
      </x:c>
      <x:c r="K156" s="78" t="n">
        <x:f>G156/F156</x:f>
        <x:v>0.04612564797427219</x:v>
      </x:c>
      <x:c r="L156" s="78" t="n">
        <x:f>IFERROR(H156/G156,0)</x:f>
        <x:v>0.0689907362262311</x:v>
      </x:c>
      <x:c r="M156" s="76" t="n">
        <x:f>IFERROR(E156/H156,0)</x:f>
        <x:v>0.6781272084805654</x:v>
      </x:c>
      <x:c r="N156" s="80" t="n">
        <x:f>IFERROR(J156/E156,0)</x:f>
        <x:v>30.960345995518736</x:v>
      </x:c>
    </x:row>
    <x:row r="157">
      <x:c r="A157" s="38" t="n">
        <x:v>46166</x:v>
      </x:c>
      <x:c r="B157" t="str">
        <x:v>2026-05</x:v>
      </x:c>
      <x:c r="C157" t="str">
        <x:v>TikTok Ads</x:v>
      </x:c>
      <x:c r="D157" t="str">
        <x:v>Lead Magnet</x:v>
      </x:c>
      <x:c r="E157" s="76" t="n">
        <x:v>195.7</x:v>
      </x:c>
      <x:c r="F157" s="88" t="n">
        <x:v>58269</x:v>
      </x:c>
      <x:c r="G157" s="88" t="n">
        <x:v>1886</x:v>
      </x:c>
      <x:c r="H157" s="88" t="n">
        <x:v>99</x:v>
      </x:c>
      <x:c r="I157" s="88" t="n">
        <x:v>29</x:v>
      </x:c>
      <x:c r="J157" s="76" t="n">
        <x:v>9669.44</x:v>
      </x:c>
      <x:c r="K157" s="78" t="n">
        <x:f>G157/F157</x:f>
        <x:v>0.03236712488630318</x:v>
      </x:c>
      <x:c r="L157" s="78" t="n">
        <x:f>IFERROR(H157/G157,0)</x:f>
        <x:v>0.05249204665959703</x:v>
      </x:c>
      <x:c r="M157" s="76" t="n">
        <x:f>IFERROR(E157/H157,0)</x:f>
        <x:v>1.9767676767676767</x:v>
      </x:c>
      <x:c r="N157" s="80" t="n">
        <x:f>IFERROR(J157/E157,0)</x:f>
        <x:v>49.409504343382736</x:v>
      </x:c>
    </x:row>
    <x:row r="158">
      <x:c r="A158" s="38" t="n">
        <x:v>46146</x:v>
      </x:c>
      <x:c r="B158" t="str">
        <x:v>2026-05</x:v>
      </x:c>
      <x:c r="C158" t="str">
        <x:v>Email</x:v>
      </x:c>
      <x:c r="D158" t="str">
        <x:v>Launch</x:v>
      </x:c>
      <x:c r="E158" s="76" t="n">
        <x:v>15.66</x:v>
      </x:c>
      <x:c r="F158" s="88" t="n">
        <x:v>33012</x:v>
      </x:c>
      <x:c r="G158" s="88" t="n">
        <x:v>280</x:v>
      </x:c>
      <x:c r="H158" s="88" t="n">
        <x:v>41</x:v>
      </x:c>
      <x:c r="I158" s="88" t="n">
        <x:v>12</x:v>
      </x:c>
      <x:c r="J158" s="76" t="n">
        <x:v>1636.2</x:v>
      </x:c>
      <x:c r="K158" s="78" t="n">
        <x:f>G158/F158</x:f>
        <x:v>0.008481764206955046</x:v>
      </x:c>
      <x:c r="L158" s="78" t="n">
        <x:f>IFERROR(H158/G158,0)</x:f>
        <x:v>0.14642857142857144</x:v>
      </x:c>
      <x:c r="M158" s="76" t="n">
        <x:f>IFERROR(E158/H158,0)</x:f>
        <x:v>0.38195121951219513</x:v>
      </x:c>
      <x:c r="N158" s="80" t="n">
        <x:f>IFERROR(J158/E158,0)</x:f>
        <x:v>104.48275862068965</x:v>
      </x:c>
    </x:row>
    <x:row r="159">
      <x:c r="A159" s="38" t="n">
        <x:v>46172</x:v>
      </x:c>
      <x:c r="B159" t="str">
        <x:v>2026-05</x:v>
      </x:c>
      <x:c r="C159" t="str">
        <x:v>Meta Ads</x:v>
      </x:c>
      <x:c r="D159" t="str">
        <x:v>Seasonal</x:v>
      </x:c>
      <x:c r="E159" s="76" t="n">
        <x:v>100.47</x:v>
      </x:c>
      <x:c r="F159" s="88" t="n">
        <x:v>50896</x:v>
      </x:c>
      <x:c r="G159" s="88" t="n">
        <x:v>1876</x:v>
      </x:c>
      <x:c r="H159" s="88" t="n">
        <x:v>198</x:v>
      </x:c>
      <x:c r="I159" s="88" t="n">
        <x:v>22</x:v>
      </x:c>
      <x:c r="J159" s="76" t="n">
        <x:v>7210.28</x:v>
      </x:c>
      <x:c r="K159" s="78" t="n">
        <x:f>G159/F159</x:f>
        <x:v>0.036859478151524676</x:v>
      </x:c>
      <x:c r="L159" s="78" t="n">
        <x:f>IFERROR(H159/G159,0)</x:f>
        <x:v>0.10554371002132196</x:v>
      </x:c>
      <x:c r="M159" s="76" t="n">
        <x:f>IFERROR(E159/H159,0)</x:f>
        <x:v>0.5074242424242424</x:v>
      </x:c>
      <x:c r="N159" s="80" t="n">
        <x:f>IFERROR(J159/E159,0)</x:f>
        <x:v>71.76550213994227</x:v>
      </x:c>
    </x:row>
    <x:row r="160">
      <x:c r="A160" s="38" t="n">
        <x:v>46187</x:v>
      </x:c>
      <x:c r="B160" t="str">
        <x:v>2026-06</x:v>
      </x:c>
      <x:c r="C160" t="str">
        <x:v>Influencers</x:v>
      </x:c>
      <x:c r="D160" t="str">
        <x:v>Brand</x:v>
      </x:c>
      <x:c r="E160" s="76" t="n">
        <x:v>733.01</x:v>
      </x:c>
      <x:c r="F160" s="88" t="n">
        <x:v>88200</x:v>
      </x:c>
      <x:c r="G160" s="88" t="n">
        <x:v>4368</x:v>
      </x:c>
      <x:c r="H160" s="88" t="n">
        <x:v>102</x:v>
      </x:c>
      <x:c r="I160" s="88" t="n">
        <x:v>10</x:v>
      </x:c>
      <x:c r="J160" s="76" t="n">
        <x:v>2958.84</x:v>
      </x:c>
      <x:c r="K160" s="78" t="n">
        <x:f>G160/F160</x:f>
        <x:v>0.049523809523809526</x:v>
      </x:c>
      <x:c r="L160" s="78" t="n">
        <x:f>IFERROR(H160/G160,0)</x:f>
        <x:v>0.023351648351648352</x:v>
      </x:c>
      <x:c r="M160" s="76" t="n">
        <x:f>IFERROR(E160/H160,0)</x:f>
        <x:v>7.186372549019608</x:v>
      </x:c>
      <x:c r="N160" s="80" t="n">
        <x:f>IFERROR(J160/E160,0)</x:f>
        <x:v>4.036561574876195</x:v>
      </x:c>
    </x:row>
    <x:row r="161">
      <x:c r="A161" s="38" t="n">
        <x:v>46039</x:v>
      </x:c>
      <x:c r="B161" t="str">
        <x:v>2026-01</x:v>
      </x:c>
      <x:c r="C161" t="str">
        <x:v>Influencers</x:v>
      </x:c>
      <x:c r="D161" t="str">
        <x:v>Lead Magnet</x:v>
      </x:c>
      <x:c r="E161" s="76" t="n">
        <x:v>1174.29</x:v>
      </x:c>
      <x:c r="F161" s="88" t="n">
        <x:v>20281</x:v>
      </x:c>
      <x:c r="G161" s="88" t="n">
        <x:v>935</x:v>
      </x:c>
      <x:c r="H161" s="88" t="n">
        <x:v>25</x:v>
      </x:c>
      <x:c r="I161" s="88" t="n">
        <x:v>3</x:v>
      </x:c>
      <x:c r="J161" s="76" t="n">
        <x:v>1278.64</x:v>
      </x:c>
      <x:c r="K161" s="78" t="n">
        <x:f>G161/F161</x:f>
        <x:v>0.04610226320201174</x:v>
      </x:c>
      <x:c r="L161" s="78" t="n">
        <x:f>IFERROR(H161/G161,0)</x:f>
        <x:v>0.026737967914438502</x:v>
      </x:c>
      <x:c r="M161" s="76" t="n">
        <x:f>IFERROR(E161/H161,0)</x:f>
        <x:v>46.971599999999995</x:v>
      </x:c>
      <x:c r="N161" s="80" t="n">
        <x:f>IFERROR(J161/E161,0)</x:f>
        <x:v>1.0888622060990045</x:v>
      </x:c>
    </x:row>
    <x:row r="162">
      <x:c r="A162" s="38" t="n">
        <x:v>46105</x:v>
      </x:c>
      <x:c r="B162" t="str">
        <x:v>2026-03</x:v>
      </x:c>
      <x:c r="C162" t="str">
        <x:v>Email</x:v>
      </x:c>
      <x:c r="D162" t="str">
        <x:v>Seasonal</x:v>
      </x:c>
      <x:c r="E162" s="76" t="n">
        <x:v>188.91</x:v>
      </x:c>
      <x:c r="F162" s="88" t="n">
        <x:v>44625</x:v>
      </x:c>
      <x:c r="G162" s="88" t="n">
        <x:v>3123</x:v>
      </x:c>
      <x:c r="H162" s="88" t="n">
        <x:v>169</x:v>
      </x:c>
      <x:c r="I162" s="88" t="n">
        <x:v>44</x:v>
      </x:c>
      <x:c r="J162" s="76" t="n">
        <x:v>10243.5</x:v>
      </x:c>
      <x:c r="K162" s="78" t="n">
        <x:f>G162/F162</x:f>
        <x:v>0.06998319327731092</x:v>
      </x:c>
      <x:c r="L162" s="78" t="n">
        <x:f>IFERROR(H162/G162,0)</x:f>
        <x:v>0.054114633365353826</x:v>
      </x:c>
      <x:c r="M162" s="76" t="n">
        <x:f>IFERROR(E162/H162,0)</x:f>
        <x:v>1.117810650887574</x:v>
      </x:c>
      <x:c r="N162" s="80" t="n">
        <x:f>IFERROR(J162/E162,0)</x:f>
        <x:v>54.224233762108945</x:v>
      </x:c>
    </x:row>
    <x:row r="163">
      <x:c r="A163" s="38" t="n">
        <x:v>46090</x:v>
      </x:c>
      <x:c r="B163" t="str">
        <x:v>2026-03</x:v>
      </x:c>
      <x:c r="C163" t="str">
        <x:v>Organic Search</x:v>
      </x:c>
      <x:c r="D163" t="str">
        <x:v>Retargeting</x:v>
      </x:c>
      <x:c r="E163" s="76" t="n">
        <x:v>28.59</x:v>
      </x:c>
      <x:c r="F163" s="88" t="n">
        <x:v>50685</x:v>
      </x:c>
      <x:c r="G163" s="88" t="n">
        <x:v>3175</x:v>
      </x:c>
      <x:c r="H163" s="88" t="n">
        <x:v>80</x:v>
      </x:c>
      <x:c r="I163" s="88" t="n">
        <x:v>23</x:v>
      </x:c>
      <x:c r="J163" s="76" t="n">
        <x:v>9982</x:v>
      </x:c>
      <x:c r="K163" s="78" t="n">
        <x:f>G163/F163</x:f>
        <x:v>0.06264180724080103</x:v>
      </x:c>
      <x:c r="L163" s="78" t="n">
        <x:f>IFERROR(H163/G163,0)</x:f>
        <x:v>0.025196850393700787</x:v>
      </x:c>
      <x:c r="M163" s="76" t="n">
        <x:f>IFERROR(E163/H163,0)</x:f>
        <x:v>0.357375</x:v>
      </x:c>
      <x:c r="N163" s="80" t="n">
        <x:f>IFERROR(J163/E163,0)</x:f>
        <x:v>349.1430570129416</x:v>
      </x:c>
    </x:row>
    <x:row r="164">
      <x:c r="A164" s="38" t="n">
        <x:v>46187</x:v>
      </x:c>
      <x:c r="B164" t="str">
        <x:v>2026-06</x:v>
      </x:c>
      <x:c r="C164" t="str">
        <x:v>Google Ads</x:v>
      </x:c>
      <x:c r="D164" t="str">
        <x:v>Launch</x:v>
      </x:c>
      <x:c r="E164" s="76" t="n">
        <x:v>550.13</x:v>
      </x:c>
      <x:c r="F164" s="88" t="n">
        <x:v>41812</x:v>
      </x:c>
      <x:c r="G164" s="88" t="n">
        <x:v>599</x:v>
      </x:c>
      <x:c r="H164" s="88" t="n">
        <x:v>23</x:v>
      </x:c>
      <x:c r="I164" s="88" t="n">
        <x:v>4</x:v>
      </x:c>
      <x:c r="J164" s="76" t="n">
        <x:v>1111.54</x:v>
      </x:c>
      <x:c r="K164" s="78" t="n">
        <x:f>G164/F164</x:f>
        <x:v>0.014326030804553717</x:v>
      </x:c>
      <x:c r="L164" s="78" t="n">
        <x:f>IFERROR(H164/G164,0)</x:f>
        <x:v>0.038397328881469114</x:v>
      </x:c>
      <x:c r="M164" s="76" t="n">
        <x:f>IFERROR(E164/H164,0)</x:f>
        <x:v>23.918695652173913</x:v>
      </x:c>
      <x:c r="N164" s="80" t="n">
        <x:f>IFERROR(J164/E164,0)</x:f>
        <x:v>2.0205042444513115</x:v>
      </x:c>
    </x:row>
    <x:row r="165">
      <x:c r="A165" s="38" t="n">
        <x:v>46094</x:v>
      </x:c>
      <x:c r="B165" t="str">
        <x:v>2026-03</x:v>
      </x:c>
      <x:c r="C165" t="str">
        <x:v>Google Ads</x:v>
      </x:c>
      <x:c r="D165" t="str">
        <x:v>Retargeting</x:v>
      </x:c>
      <x:c r="E165" s="76" t="n">
        <x:v>839.78</x:v>
      </x:c>
      <x:c r="F165" s="88" t="n">
        <x:v>51956</x:v>
      </x:c>
      <x:c r="G165" s="88" t="n">
        <x:v>1694</x:v>
      </x:c>
      <x:c r="H165" s="88" t="n">
        <x:v>244</x:v>
      </x:c>
      <x:c r="I165" s="88" t="n">
        <x:v>40</x:v>
      </x:c>
      <x:c r="J165" s="76" t="n">
        <x:v>13180.37</x:v>
      </x:c>
      <x:c r="K165" s="78" t="n">
        <x:f>G165/F165</x:f>
        <x:v>0.03260451150973901</x:v>
      </x:c>
      <x:c r="L165" s="78" t="n">
        <x:f>IFERROR(H165/G165,0)</x:f>
        <x:v>0.14403778040141677</x:v>
      </x:c>
      <x:c r="M165" s="76" t="n">
        <x:f>IFERROR(E165/H165,0)</x:f>
        <x:v>3.4417213114754097</x:v>
      </x:c>
      <x:c r="N165" s="80" t="n">
        <x:f>IFERROR(J165/E165,0)</x:f>
        <x:v>15.695027269046657</x:v>
      </x:c>
    </x:row>
    <x:row r="166">
      <x:c r="A166" s="38" t="n">
        <x:v>46140</x:v>
      </x:c>
      <x:c r="B166" t="str">
        <x:v>2026-04</x:v>
      </x:c>
      <x:c r="C166" t="str">
        <x:v>Meta Ads</x:v>
      </x:c>
      <x:c r="D166" t="str">
        <x:v>Retargeting</x:v>
      </x:c>
      <x:c r="E166" s="76" t="n">
        <x:v>344.43</x:v>
      </x:c>
      <x:c r="F166" s="88" t="n">
        <x:v>51850</x:v>
      </x:c>
      <x:c r="G166" s="88" t="n">
        <x:v>3489</x:v>
      </x:c>
      <x:c r="H166" s="88" t="n">
        <x:v>70</x:v>
      </x:c>
      <x:c r="I166" s="88" t="n">
        <x:v>14</x:v>
      </x:c>
      <x:c r="J166" s="76" t="n">
        <x:v>3436.66</x:v>
      </x:c>
      <x:c r="K166" s="78" t="n">
        <x:f>G166/F166</x:f>
        <x:v>0.06729026036644166</x:v>
      </x:c>
      <x:c r="L166" s="78" t="n">
        <x:f>IFERROR(H166/G166,0)</x:f>
        <x:v>0.02006305531670966</x:v>
      </x:c>
      <x:c r="M166" s="76" t="n">
        <x:f>IFERROR(E166/H166,0)</x:f>
        <x:v>4.920428571428571</x:v>
      </x:c>
      <x:c r="N166" s="80" t="n">
        <x:f>IFERROR(J166/E166,0)</x:f>
        <x:v>9.977818424643614</x:v>
      </x:c>
    </x:row>
    <x:row r="167">
      <x:c r="A167" s="38" t="n">
        <x:v>46183</x:v>
      </x:c>
      <x:c r="B167" t="str">
        <x:v>2026-06</x:v>
      </x:c>
      <x:c r="C167" t="str">
        <x:v>Email</x:v>
      </x:c>
      <x:c r="D167" t="str">
        <x:v>Lead Magnet</x:v>
      </x:c>
      <x:c r="E167" s="76" t="n">
        <x:v>76.25</x:v>
      </x:c>
      <x:c r="F167" s="88" t="n">
        <x:v>22365</x:v>
      </x:c>
      <x:c r="G167" s="88" t="n">
        <x:v>488</x:v>
      </x:c>
      <x:c r="H167" s="88" t="n">
        <x:v>33</x:v>
      </x:c>
      <x:c r="I167" s="88" t="n">
        <x:v>10</x:v>
      </x:c>
      <x:c r="J167" s="76" t="n">
        <x:v>1620.43</x:v>
      </x:c>
      <x:c r="K167" s="78" t="n">
        <x:f>G167/F167</x:f>
        <x:v>0.021819807735300692</x:v>
      </x:c>
      <x:c r="L167" s="78" t="n">
        <x:f>IFERROR(H167/G167,0)</x:f>
        <x:v>0.06762295081967214</x:v>
      </x:c>
      <x:c r="M167" s="76" t="n">
        <x:f>IFERROR(E167/H167,0)</x:f>
        <x:v>2.3106060606060606</x:v>
      </x:c>
      <x:c r="N167" s="80" t="n">
        <x:f>IFERROR(J167/E167,0)</x:f>
        <x:v>21.251540983606557</x:v>
      </x:c>
    </x:row>
    <x:row r="168">
      <x:c r="A168" s="38" t="n">
        <x:v>46112</x:v>
      </x:c>
      <x:c r="B168" t="str">
        <x:v>2026-03</x:v>
      </x:c>
      <x:c r="C168" t="str">
        <x:v>Influencers</x:v>
      </x:c>
      <x:c r="D168" t="str">
        <x:v>Lead Magnet</x:v>
      </x:c>
      <x:c r="E168" s="76" t="n">
        <x:v>530.09</x:v>
      </x:c>
      <x:c r="F168" s="88" t="n">
        <x:v>80726</x:v>
      </x:c>
      <x:c r="G168" s="88" t="n">
        <x:v>3555</x:v>
      </x:c>
      <x:c r="H168" s="88" t="n">
        <x:v>436</x:v>
      </x:c>
      <x:c r="I168" s="88" t="n">
        <x:v>117</x:v>
      </x:c>
      <x:c r="J168" s="76" t="n">
        <x:v>15135.11</x:v>
      </x:c>
      <x:c r="K168" s="78" t="n">
        <x:f>G168/F168</x:f>
        <x:v>0.04403785645269182</x:v>
      </x:c>
      <x:c r="L168" s="78" t="n">
        <x:f>IFERROR(H168/G168,0)</x:f>
        <x:v>0.12264416315049226</x:v>
      </x:c>
      <x:c r="M168" s="76" t="n">
        <x:f>IFERROR(E168/H168,0)</x:f>
        <x:v>1.2158027522935781</x:v>
      </x:c>
      <x:c r="N168" s="80" t="n">
        <x:f>IFERROR(J168/E168,0)</x:f>
        <x:v>28.551962874228902</x:v>
      </x:c>
    </x:row>
    <x:row r="169">
      <x:c r="A169" s="38" t="n">
        <x:v>46032</x:v>
      </x:c>
      <x:c r="B169" t="str">
        <x:v>2026-01</x:v>
      </x:c>
      <x:c r="C169" t="str">
        <x:v>Organic Search</x:v>
      </x:c>
      <x:c r="D169" t="str">
        <x:v>Launch</x:v>
      </x:c>
      <x:c r="E169" s="76" t="n">
        <x:v>139.63</x:v>
      </x:c>
      <x:c r="F169" s="88" t="n">
        <x:v>57702</x:v>
      </x:c>
      <x:c r="G169" s="88" t="n">
        <x:v>3435</x:v>
      </x:c>
      <x:c r="H169" s="88" t="n">
        <x:v>327</x:v>
      </x:c>
      <x:c r="I169" s="88" t="n">
        <x:v>57</x:v>
      </x:c>
      <x:c r="J169" s="76" t="n">
        <x:v>7412.22</x:v>
      </x:c>
      <x:c r="K169" s="78" t="n">
        <x:f>G169/F169</x:f>
        <x:v>0.05952999896017469</x:v>
      </x:c>
      <x:c r="L169" s="78" t="n">
        <x:f>IFERROR(H169/G169,0)</x:f>
        <x:v>0.09519650655021834</x:v>
      </x:c>
      <x:c r="M169" s="76" t="n">
        <x:f>IFERROR(E169/H169,0)</x:f>
        <x:v>0.42700305810397554</x:v>
      </x:c>
      <x:c r="N169" s="80" t="n">
        <x:f>IFERROR(J169/E169,0)</x:f>
        <x:v>53.08472391319917</x:v>
      </x:c>
    </x:row>
    <x:row r="170">
      <x:c r="A170" s="38" t="n">
        <x:v>46200</x:v>
      </x:c>
      <x:c r="B170" t="str">
        <x:v>2026-06</x:v>
      </x:c>
      <x:c r="C170" t="str">
        <x:v>Email</x:v>
      </x:c>
      <x:c r="D170" t="str">
        <x:v>Retargeting</x:v>
      </x:c>
      <x:c r="E170" s="76" t="n">
        <x:v>134.64</x:v>
      </x:c>
      <x:c r="F170" s="88" t="n">
        <x:v>20115</x:v>
      </x:c>
      <x:c r="G170" s="88" t="n">
        <x:v>891</x:v>
      </x:c>
      <x:c r="H170" s="88" t="n">
        <x:v>66</x:v>
      </x:c>
      <x:c r="I170" s="88" t="n">
        <x:v>6</x:v>
      </x:c>
      <x:c r="J170" s="76" t="n">
        <x:v>1468.59</x:v>
      </x:c>
      <x:c r="K170" s="78" t="n">
        <x:f>G170/F170</x:f>
        <x:v>0.04429530201342282</x:v>
      </x:c>
      <x:c r="L170" s="78" t="n">
        <x:f>IFERROR(H170/G170,0)</x:f>
        <x:v>0.07407407407407407</x:v>
      </x:c>
      <x:c r="M170" s="76" t="n">
        <x:f>IFERROR(E170/H170,0)</x:f>
        <x:v>2.0399999999999996</x:v>
      </x:c>
      <x:c r="N170" s="80" t="n">
        <x:f>IFERROR(J170/E170,0)</x:f>
        <x:v>10.9075311942959</x:v>
      </x:c>
    </x:row>
    <x:row r="171">
      <x:c r="A171" s="38" t="n">
        <x:v>46030</x:v>
      </x:c>
      <x:c r="B171" t="str">
        <x:v>2026-01</x:v>
      </x:c>
      <x:c r="C171" t="str">
        <x:v>TikTok Ads</x:v>
      </x:c>
      <x:c r="D171" t="str">
        <x:v>Promo</x:v>
      </x:c>
      <x:c r="E171" s="76" t="n">
        <x:v>765.71</x:v>
      </x:c>
      <x:c r="F171" s="88" t="n">
        <x:v>4017</x:v>
      </x:c>
      <x:c r="G171" s="88" t="n">
        <x:v>178</x:v>
      </x:c>
      <x:c r="H171" s="88" t="n">
        <x:v>26</x:v>
      </x:c>
      <x:c r="I171" s="88" t="n">
        <x:v>5</x:v>
      </x:c>
      <x:c r="J171" s="76" t="n">
        <x:v>2217.83</x:v>
      </x:c>
      <x:c r="K171" s="78" t="n">
        <x:f>G171/F171</x:f>
        <x:v>0.044311675379636546</x:v>
      </x:c>
      <x:c r="L171" s="78" t="n">
        <x:f>IFERROR(H171/G171,0)</x:f>
        <x:v>0.14606741573033707</x:v>
      </x:c>
      <x:c r="M171" s="76" t="n">
        <x:f>IFERROR(E171/H171,0)</x:f>
        <x:v>29.450384615384618</x:v>
      </x:c>
      <x:c r="N171" s="80" t="n">
        <x:f>IFERROR(J171/E171,0)</x:f>
        <x:v>2.896435987514855</x:v>
      </x:c>
    </x:row>
    <x:row r="172">
      <x:c r="A172" s="38" t="n">
        <x:v>46077</x:v>
      </x:c>
      <x:c r="B172" t="str">
        <x:v>2026-02</x:v>
      </x:c>
      <x:c r="C172" t="str">
        <x:v>TikTok Ads</x:v>
      </x:c>
      <x:c r="D172" t="str">
        <x:v>Promo</x:v>
      </x:c>
      <x:c r="E172" s="76" t="n">
        <x:v>306.89</x:v>
      </x:c>
      <x:c r="F172" s="88" t="n">
        <x:v>14244</x:v>
      </x:c>
      <x:c r="G172" s="88" t="n">
        <x:v>236</x:v>
      </x:c>
      <x:c r="H172" s="88" t="n">
        <x:v>20</x:v>
      </x:c>
      <x:c r="I172" s="88" t="n">
        <x:v>3</x:v>
      </x:c>
      <x:c r="J172" s="76" t="n">
        <x:v>554.34</x:v>
      </x:c>
      <x:c r="K172" s="78" t="n">
        <x:f>G172/F172</x:f>
        <x:v>0.016568379668632408</x:v>
      </x:c>
      <x:c r="L172" s="78" t="n">
        <x:f>IFERROR(H172/G172,0)</x:f>
        <x:v>0.0847457627118644</x:v>
      </x:c>
      <x:c r="M172" s="76" t="n">
        <x:f>IFERROR(E172/H172,0)</x:f>
        <x:v>15.3445</x:v>
      </x:c>
      <x:c r="N172" s="80" t="n">
        <x:f>IFERROR(J172/E172,0)</x:f>
        <x:v>1.806314966274561</x:v>
      </x:c>
    </x:row>
    <x:row r="173">
      <x:c r="A173" s="38" t="n">
        <x:v>46098</x:v>
      </x:c>
      <x:c r="B173" t="str">
        <x:v>2026-03</x:v>
      </x:c>
      <x:c r="C173" t="str">
        <x:v>TikTok Ads</x:v>
      </x:c>
      <x:c r="D173" t="str">
        <x:v>Retargeting</x:v>
      </x:c>
      <x:c r="E173" s="76" t="n">
        <x:v>522.46</x:v>
      </x:c>
      <x:c r="F173" s="88" t="n">
        <x:v>81483</x:v>
      </x:c>
      <x:c r="G173" s="88" t="n">
        <x:v>5383</x:v>
      </x:c>
      <x:c r="H173" s="88" t="n">
        <x:v>658</x:v>
      </x:c>
      <x:c r="I173" s="88" t="n">
        <x:v>162</x:v>
      </x:c>
      <x:c r="J173" s="76" t="n">
        <x:v>58104.46</x:v>
      </x:c>
      <x:c r="K173" s="78" t="n">
        <x:f>G173/F173</x:f>
        <x:v>0.06606285973761399</x:v>
      </x:c>
      <x:c r="L173" s="78" t="n">
        <x:f>IFERROR(H173/G173,0)</x:f>
        <x:v>0.1222366710013004</x:v>
      </x:c>
      <x:c r="M173" s="76" t="n">
        <x:f>IFERROR(E173/H173,0)</x:f>
        <x:v>0.7940121580547113</x:v>
      </x:c>
      <x:c r="N173" s="80" t="n">
        <x:f>IFERROR(J173/E173,0)</x:f>
        <x:v>111.21322206484706</x:v>
      </x:c>
    </x:row>
    <x:row r="174">
      <x:c r="A174" s="38" t="n">
        <x:v>46172</x:v>
      </x:c>
      <x:c r="B174" t="str">
        <x:v>2026-05</x:v>
      </x:c>
      <x:c r="C174" t="str">
        <x:v>Meta Ads</x:v>
      </x:c>
      <x:c r="D174" t="str">
        <x:v>Launch</x:v>
      </x:c>
      <x:c r="E174" s="76" t="n">
        <x:v>347.1</x:v>
      </x:c>
      <x:c r="F174" s="88" t="n">
        <x:v>29875</x:v>
      </x:c>
      <x:c r="G174" s="88" t="n">
        <x:v>732</x:v>
      </x:c>
      <x:c r="H174" s="88" t="n">
        <x:v>91</x:v>
      </x:c>
      <x:c r="I174" s="88" t="n">
        <x:v>9</x:v>
      </x:c>
      <x:c r="J174" s="76" t="n">
        <x:v>584.98</x:v>
      </x:c>
      <x:c r="K174" s="78" t="n">
        <x:f>G174/F174</x:f>
        <x:v>0.024502092050209204</x:v>
      </x:c>
      <x:c r="L174" s="78" t="n">
        <x:f>IFERROR(H174/G174,0)</x:f>
        <x:v>0.12431693989071038</x:v>
      </x:c>
      <x:c r="M174" s="76" t="n">
        <x:f>IFERROR(E174/H174,0)</x:f>
        <x:v>3.8142857142857145</x:v>
      </x:c>
      <x:c r="N174" s="80" t="n">
        <x:f>IFERROR(J174/E174,0)</x:f>
        <x:v>1.685335638144627</x:v>
      </x:c>
    </x:row>
    <x:row r="175">
      <x:c r="A175" s="38" t="n">
        <x:v>46165</x:v>
      </x:c>
      <x:c r="B175" t="str">
        <x:v>2026-05</x:v>
      </x:c>
      <x:c r="C175" t="str">
        <x:v>Google Ads</x:v>
      </x:c>
      <x:c r="D175" t="str">
        <x:v>Retargeting</x:v>
      </x:c>
      <x:c r="E175" s="76" t="n">
        <x:v>593.62</x:v>
      </x:c>
      <x:c r="F175" s="88" t="n">
        <x:v>77939</x:v>
      </x:c>
      <x:c r="G175" s="88" t="n">
        <x:v>2401</x:v>
      </x:c>
      <x:c r="H175" s="88" t="n">
        <x:v>149</x:v>
      </x:c>
      <x:c r="I175" s="88" t="n">
        <x:v>31</x:v>
      </x:c>
      <x:c r="J175" s="76" t="n">
        <x:v>11670.33</x:v>
      </x:c>
      <x:c r="K175" s="78" t="n">
        <x:f>G175/F175</x:f>
        <x:v>0.030806143265887424</x:v>
      </x:c>
      <x:c r="L175" s="78" t="n">
        <x:f>IFERROR(H175/G175,0)</x:f>
        <x:v>0.06205747605164515</x:v>
      </x:c>
      <x:c r="M175" s="76" t="n">
        <x:f>IFERROR(E175/H175,0)</x:f>
        <x:v>3.984026845637584</x:v>
      </x:c>
      <x:c r="N175" s="80" t="n">
        <x:f>IFERROR(J175/E175,0)</x:f>
        <x:v>19.65959704861696</x:v>
      </x:c>
    </x:row>
    <x:row r="176">
      <x:c r="A176" s="38" t="n">
        <x:v>46111</x:v>
      </x:c>
      <x:c r="B176" t="str">
        <x:v>2026-03</x:v>
      </x:c>
      <x:c r="C176" t="str">
        <x:v>TikTok Ads</x:v>
      </x:c>
      <x:c r="D176" t="str">
        <x:v>Launch</x:v>
      </x:c>
      <x:c r="E176" s="76" t="n">
        <x:v>422.89</x:v>
      </x:c>
      <x:c r="F176" s="88" t="n">
        <x:v>30807</x:v>
      </x:c>
      <x:c r="G176" s="88" t="n">
        <x:v>744</x:v>
      </x:c>
      <x:c r="H176" s="88" t="n">
        <x:v>27</x:v>
      </x:c>
      <x:c r="I176" s="88" t="n">
        <x:v>2</x:v>
      </x:c>
      <x:c r="J176" s="76" t="n">
        <x:v>898.59</x:v>
      </x:c>
      <x:c r="K176" s="78" t="n">
        <x:f>G176/F176</x:f>
        <x:v>0.024150355438698996</x:v>
      </x:c>
      <x:c r="L176" s="78" t="n">
        <x:f>IFERROR(H176/G176,0)</x:f>
        <x:v>0.036290322580645164</x:v>
      </x:c>
      <x:c r="M176" s="76" t="n">
        <x:f>IFERROR(E176/H176,0)</x:f>
        <x:v>15.662592592592592</x:v>
      </x:c>
      <x:c r="N176" s="80" t="n">
        <x:f>IFERROR(J176/E176,0)</x:f>
        <x:v>2.124878810092459</x:v>
      </x:c>
    </x:row>
    <x:row r="177">
      <x:c r="A177" s="38" t="n">
        <x:v>46033</x:v>
      </x:c>
      <x:c r="B177" t="str">
        <x:v>2026-01</x:v>
      </x:c>
      <x:c r="C177" t="str">
        <x:v>TikTok Ads</x:v>
      </x:c>
      <x:c r="D177" t="str">
        <x:v>Seasonal</x:v>
      </x:c>
      <x:c r="E177" s="76" t="n">
        <x:v>1003.24</x:v>
      </x:c>
      <x:c r="F177" s="88" t="n">
        <x:v>55271</x:v>
      </x:c>
      <x:c r="G177" s="88" t="n">
        <x:v>2660</x:v>
      </x:c>
      <x:c r="H177" s="88" t="n">
        <x:v>126</x:v>
      </x:c>
      <x:c r="I177" s="88" t="n">
        <x:v>10</x:v>
      </x:c>
      <x:c r="J177" s="76" t="n">
        <x:v>1737.88</x:v>
      </x:c>
      <x:c r="K177" s="78" t="n">
        <x:f>G177/F177</x:f>
        <x:v>0.04812650395324854</x:v>
      </x:c>
      <x:c r="L177" s="78" t="n">
        <x:f>IFERROR(H177/G177,0)</x:f>
        <x:v>0.04736842105263158</x:v>
      </x:c>
      <x:c r="M177" s="76" t="n">
        <x:f>IFERROR(E177/H177,0)</x:f>
        <x:v>7.9622222222222225</x:v>
      </x:c>
      <x:c r="N177" s="80" t="n">
        <x:f>IFERROR(J177/E177,0)</x:f>
        <x:v>1.7322674534508193</x:v>
      </x:c>
    </x:row>
    <x:row r="178">
      <x:c r="A178" s="38" t="n">
        <x:v>46184</x:v>
      </x:c>
      <x:c r="B178" t="str">
        <x:v>2026-06</x:v>
      </x:c>
      <x:c r="C178" t="str">
        <x:v>Organic Search</x:v>
      </x:c>
      <x:c r="D178" t="str">
        <x:v>Promo</x:v>
      </x:c>
      <x:c r="E178" s="76" t="n">
        <x:v>130.99</x:v>
      </x:c>
      <x:c r="F178" s="88" t="n">
        <x:v>57158</x:v>
      </x:c>
      <x:c r="G178" s="88" t="n">
        <x:v>3433</x:v>
      </x:c>
      <x:c r="H178" s="88" t="n">
        <x:v>304</x:v>
      </x:c>
      <x:c r="I178" s="88" t="n">
        <x:v>32</x:v>
      </x:c>
      <x:c r="J178" s="76" t="n">
        <x:v>5894.23</x:v>
      </x:c>
      <x:c r="K178" s="78" t="n">
        <x:f>G178/F178</x:f>
        <x:v>0.060061583680324715</x:v>
      </x:c>
      <x:c r="L178" s="78" t="n">
        <x:f>IFERROR(H178/G178,0)</x:f>
        <x:v>0.08855228662976988</x:v>
      </x:c>
      <x:c r="M178" s="76" t="n">
        <x:f>IFERROR(E178/H178,0)</x:f>
        <x:v>0.4308881578947369</x:v>
      </x:c>
      <x:c r="N178" s="80" t="n">
        <x:f>IFERROR(J178/E178,0)</x:f>
        <x:v>44.997557065424836</x:v>
      </x:c>
    </x:row>
    <x:row r="179">
      <x:c r="A179" s="38" t="n">
        <x:v>46113</x:v>
      </x:c>
      <x:c r="B179" t="str">
        <x:v>2026-04</x:v>
      </x:c>
      <x:c r="C179" t="str">
        <x:v>Meta Ads</x:v>
      </x:c>
      <x:c r="D179" t="str">
        <x:v>Seasonal</x:v>
      </x:c>
      <x:c r="E179" s="76" t="n">
        <x:v>249.59</x:v>
      </x:c>
      <x:c r="F179" s="88" t="n">
        <x:v>59883</x:v>
      </x:c>
      <x:c r="G179" s="88" t="n">
        <x:v>2509</x:v>
      </x:c>
      <x:c r="H179" s="88" t="n">
        <x:v>102</x:v>
      </x:c>
      <x:c r="I179" s="88" t="n">
        <x:v>33</x:v>
      </x:c>
      <x:c r="J179" s="76" t="n">
        <x:v>8034.63</x:v>
      </x:c>
      <x:c r="K179" s="78" t="n">
        <x:f>G179/F179</x:f>
        <x:v>0.041898368485212834</x:v>
      </x:c>
      <x:c r="L179" s="78" t="n">
        <x:f>IFERROR(H179/G179,0)</x:f>
        <x:v>0.04065364687126345</x:v>
      </x:c>
      <x:c r="M179" s="76" t="n">
        <x:f>IFERROR(E179/H179,0)</x:f>
        <x:v>2.4469607843137253</x:v>
      </x:c>
      <x:c r="N179" s="80" t="n">
        <x:f>IFERROR(J179/E179,0)</x:f>
        <x:v>32.19131375455748</x:v>
      </x:c>
    </x:row>
    <x:row r="180">
      <x:c r="A180" s="38" t="n">
        <x:v>46197</x:v>
      </x:c>
      <x:c r="B180" t="str">
        <x:v>2026-06</x:v>
      </x:c>
      <x:c r="C180" t="str">
        <x:v>TikTok Ads</x:v>
      </x:c>
      <x:c r="D180" t="str">
        <x:v>Launch</x:v>
      </x:c>
      <x:c r="E180" s="76" t="n">
        <x:v>73.29</x:v>
      </x:c>
      <x:c r="F180" s="88" t="n">
        <x:v>9245</x:v>
      </x:c>
      <x:c r="G180" s="88" t="n">
        <x:v>598</x:v>
      </x:c>
      <x:c r="H180" s="88" t="n">
        <x:v>63</x:v>
      </x:c>
      <x:c r="I180" s="88" t="n">
        <x:v>8</x:v>
      </x:c>
      <x:c r="J180" s="76" t="n">
        <x:v>520.09</x:v>
      </x:c>
      <x:c r="K180" s="78" t="n">
        <x:f>G180/F180</x:f>
        <x:v>0.06468361276365603</x:v>
      </x:c>
      <x:c r="L180" s="78" t="n">
        <x:f>IFERROR(H180/G180,0)</x:f>
        <x:v>0.10535117056856187</x:v>
      </x:c>
      <x:c r="M180" s="76" t="n">
        <x:f>IFERROR(E180/H180,0)</x:f>
        <x:v>1.1633333333333333</x:v>
      </x:c>
      <x:c r="N180" s="80" t="n">
        <x:f>IFERROR(J180/E180,0)</x:f>
        <x:v>7.096329649338245</x:v>
      </x:c>
    </x:row>
    <x:row r="181">
      <x:c r="A181" s="38" t="n">
        <x:v>46154</x:v>
      </x:c>
      <x:c r="B181" t="str">
        <x:v>2026-05</x:v>
      </x:c>
      <x:c r="C181" t="str">
        <x:v>Influencers</x:v>
      </x:c>
      <x:c r="D181" t="str">
        <x:v>Promo</x:v>
      </x:c>
      <x:c r="E181" s="76" t="n">
        <x:v>175.36</x:v>
      </x:c>
      <x:c r="F181" s="88" t="n">
        <x:v>30852</x:v>
      </x:c>
      <x:c r="G181" s="88" t="n">
        <x:v>1810</x:v>
      </x:c>
      <x:c r="H181" s="88" t="n">
        <x:v>122</x:v>
      </x:c>
      <x:c r="I181" s="88" t="n">
        <x:v>35</x:v>
      </x:c>
      <x:c r="J181" s="76" t="n">
        <x:v>13043.79</x:v>
      </x:c>
      <x:c r="K181" s="78" t="n">
        <x:f>G181/F181</x:f>
        <x:v>0.05866718527161934</x:v>
      </x:c>
      <x:c r="L181" s="78" t="n">
        <x:f>IFERROR(H181/G181,0)</x:f>
        <x:v>0.06740331491712707</x:v>
      </x:c>
      <x:c r="M181" s="76" t="n">
        <x:f>IFERROR(E181/H181,0)</x:f>
        <x:v>1.437377049180328</x:v>
      </x:c>
      <x:c r="N181" s="80" t="n">
        <x:f>IFERROR(J181/E181,0)</x:f>
        <x:v>74.38292655109488</x:v>
      </x:c>
    </x:row>
    <x:row r="182">
      <x:c r="A182" s="38" t="n">
        <x:v>46154</x:v>
      </x:c>
      <x:c r="B182" t="str">
        <x:v>2026-05</x:v>
      </x:c>
      <x:c r="C182" t="str">
        <x:v>Email</x:v>
      </x:c>
      <x:c r="D182" t="str">
        <x:v>Retargeting</x:v>
      </x:c>
      <x:c r="E182" s="76" t="n">
        <x:v>98.07</x:v>
      </x:c>
      <x:c r="F182" s="88" t="n">
        <x:v>13282</x:v>
      </x:c>
      <x:c r="G182" s="88" t="n">
        <x:v>801</x:v>
      </x:c>
      <x:c r="H182" s="88" t="n">
        <x:v>115</x:v>
      </x:c>
      <x:c r="I182" s="88" t="n">
        <x:v>19</x:v>
      </x:c>
      <x:c r="J182" s="76" t="n">
        <x:v>3976.1</x:v>
      </x:c>
      <x:c r="K182" s="78" t="n">
        <x:f>G182/F182</x:f>
        <x:v>0.06030718265321488</x:v>
      </x:c>
      <x:c r="L182" s="78" t="n">
        <x:f>IFERROR(H182/G182,0)</x:f>
        <x:v>0.14357053682896379</x:v>
      </x:c>
      <x:c r="M182" s="76" t="n">
        <x:f>IFERROR(E182/H182,0)</x:f>
        <x:v>0.8527826086956521</x:v>
      </x:c>
      <x:c r="N182" s="80" t="n">
        <x:f>IFERROR(J182/E182,0)</x:f>
        <x:v>40.54348934434588</x:v>
      </x:c>
    </x:row>
    <x:row r="183">
      <x:c r="A183" s="38" t="n">
        <x:v>46084</x:v>
      </x:c>
      <x:c r="B183" t="str">
        <x:v>2026-03</x:v>
      </x:c>
      <x:c r="C183" t="str">
        <x:v>Organic Search</x:v>
      </x:c>
      <x:c r="D183" t="str">
        <x:v>Retargeting</x:v>
      </x:c>
      <x:c r="E183" s="76" t="n">
        <x:v>80.62</x:v>
      </x:c>
      <x:c r="F183" s="88" t="n">
        <x:v>88064</x:v>
      </x:c>
      <x:c r="G183" s="88" t="n">
        <x:v>1413</x:v>
      </x:c>
      <x:c r="H183" s="88" t="n">
        <x:v>207</x:v>
      </x:c>
      <x:c r="I183" s="88" t="n">
        <x:v>24</x:v>
      </x:c>
      <x:c r="J183" s="76" t="n">
        <x:v>10030.45</x:v>
      </x:c>
      <x:c r="K183" s="78" t="n">
        <x:f>G183/F183</x:f>
        <x:v>0.01604514898255814</x:v>
      </x:c>
      <x:c r="L183" s="78" t="n">
        <x:f>IFERROR(H183/G183,0)</x:f>
        <x:v>0.1464968152866242</x:v>
      </x:c>
      <x:c r="M183" s="76" t="n">
        <x:f>IFERROR(E183/H183,0)</x:f>
        <x:v>0.3894685990338164</x:v>
      </x:c>
      <x:c r="N183" s="80" t="n">
        <x:f>IFERROR(J183/E183,0)</x:f>
        <x:v>124.41639791614985</x:v>
      </x:c>
    </x:row>
    <x:row r="184">
      <x:c r="A184" s="38" t="n">
        <x:v>46088</x:v>
      </x:c>
      <x:c r="B184" t="str">
        <x:v>2026-03</x:v>
      </x:c>
      <x:c r="C184" t="str">
        <x:v>Google Ads</x:v>
      </x:c>
      <x:c r="D184" t="str">
        <x:v>Lead Magnet</x:v>
      </x:c>
      <x:c r="E184" s="76" t="n">
        <x:v>295.54</x:v>
      </x:c>
      <x:c r="F184" s="88" t="n">
        <x:v>79365</x:v>
      </x:c>
      <x:c r="G184" s="88" t="n">
        <x:v>5218</x:v>
      </x:c>
      <x:c r="H184" s="88" t="n">
        <x:v>722</x:v>
      </x:c>
      <x:c r="I184" s="88" t="n">
        <x:v>79</x:v>
      </x:c>
      <x:c r="J184" s="76" t="n">
        <x:v>11680.37</x:v>
      </x:c>
      <x:c r="K184" s="78" t="n">
        <x:f>G184/F184</x:f>
        <x:v>0.06574686574686575</x:v>
      </x:c>
      <x:c r="L184" s="78" t="n">
        <x:f>IFERROR(H184/G184,0)</x:f>
        <x:v>0.13836719049444232</x:v>
      </x:c>
      <x:c r="M184" s="76" t="n">
        <x:f>IFERROR(E184/H184,0)</x:f>
        <x:v>0.4093351800554017</x:v>
      </x:c>
      <x:c r="N184" s="80" t="n">
        <x:f>IFERROR(J184/E184,0)</x:f>
        <x:v>39.52212898423225</x:v>
      </x:c>
    </x:row>
    <x:row r="185">
      <x:c r="A185" s="38" t="n">
        <x:v>46190</x:v>
      </x:c>
      <x:c r="B185" t="str">
        <x:v>2026-06</x:v>
      </x:c>
      <x:c r="C185" t="str">
        <x:v>Email</x:v>
      </x:c>
      <x:c r="D185" t="str">
        <x:v>Brand</x:v>
      </x:c>
      <x:c r="E185" s="76" t="n">
        <x:v>194</x:v>
      </x:c>
      <x:c r="F185" s="88" t="n">
        <x:v>64572</x:v>
      </x:c>
      <x:c r="G185" s="88" t="n">
        <x:v>3073</x:v>
      </x:c>
      <x:c r="H185" s="88" t="n">
        <x:v>315</x:v>
      </x:c>
      <x:c r="I185" s="88" t="n">
        <x:v>89</x:v>
      </x:c>
      <x:c r="J185" s="76" t="n">
        <x:v>21287.56</x:v>
      </x:c>
      <x:c r="K185" s="78" t="n">
        <x:f>G185/F185</x:f>
        <x:v>0.047590286811621134</x:v>
      </x:c>
      <x:c r="L185" s="78" t="n">
        <x:f>IFERROR(H185/G185,0)</x:f>
        <x:v>0.10250569476082004</x:v>
      </x:c>
      <x:c r="M185" s="76" t="n">
        <x:f>IFERROR(E185/H185,0)</x:f>
        <x:v>0.6158730158730159</x:v>
      </x:c>
      <x:c r="N185" s="80" t="n">
        <x:f>IFERROR(J185/E185,0)</x:f>
        <x:v>109.72969072164949</x:v>
      </x:c>
    </x:row>
    <x:row r="186">
      <x:c r="A186" s="38" t="n">
        <x:v>46084</x:v>
      </x:c>
      <x:c r="B186" t="str">
        <x:v>2026-03</x:v>
      </x:c>
      <x:c r="C186" t="str">
        <x:v>Email</x:v>
      </x:c>
      <x:c r="D186" t="str">
        <x:v>Launch</x:v>
      </x:c>
      <x:c r="E186" s="76" t="n">
        <x:v>115.31</x:v>
      </x:c>
      <x:c r="F186" s="88" t="n">
        <x:v>53704</x:v>
      </x:c>
      <x:c r="G186" s="88" t="n">
        <x:v>3718</x:v>
      </x:c>
      <x:c r="H186" s="88" t="n">
        <x:v>162</x:v>
      </x:c>
      <x:c r="I186" s="88" t="n">
        <x:v>37</x:v>
      </x:c>
      <x:c r="J186" s="76" t="n">
        <x:v>8637.8</x:v>
      </x:c>
      <x:c r="K186" s="78" t="n">
        <x:f>G186/F186</x:f>
        <x:v>0.06923134217190526</x:v>
      </x:c>
      <x:c r="L186" s="78" t="n">
        <x:f>IFERROR(H186/G186,0)</x:f>
        <x:v>0.04357181280258203</x:v>
      </x:c>
      <x:c r="M186" s="76" t="n">
        <x:f>IFERROR(E186/H186,0)</x:f>
        <x:v>0.7117901234567902</x:v>
      </x:c>
      <x:c r="N186" s="80" t="n">
        <x:f>IFERROR(J186/E186,0)</x:f>
        <x:v>74.90937472899141</x:v>
      </x:c>
    </x:row>
    <x:row r="187">
      <x:c r="A187" s="38" t="n">
        <x:v>46131</x:v>
      </x:c>
      <x:c r="B187" t="str">
        <x:v>2026-04</x:v>
      </x:c>
      <x:c r="C187" t="str">
        <x:v>TikTok Ads</x:v>
      </x:c>
      <x:c r="D187" t="str">
        <x:v>Brand</x:v>
      </x:c>
      <x:c r="E187" s="76" t="n">
        <x:v>540.02</x:v>
      </x:c>
      <x:c r="F187" s="88" t="n">
        <x:v>64765</x:v>
      </x:c>
      <x:c r="G187" s="88" t="n">
        <x:v>3478</x:v>
      </x:c>
      <x:c r="H187" s="88" t="n">
        <x:v>237</x:v>
      </x:c>
      <x:c r="I187" s="88" t="n">
        <x:v>54</x:v>
      </x:c>
      <x:c r="J187" s="76" t="n">
        <x:v>15623.09</x:v>
      </x:c>
      <x:c r="K187" s="78" t="n">
        <x:f>G187/F187</x:f>
        <x:v>0.05370184513240176</x:v>
      </x:c>
      <x:c r="L187" s="78" t="n">
        <x:f>IFERROR(H187/G187,0)</x:f>
        <x:v>0.06814261069580219</x:v>
      </x:c>
      <x:c r="M187" s="76" t="n">
        <x:f>IFERROR(E187/H187,0)</x:f>
        <x:v>2.2785654008438816</x:v>
      </x:c>
      <x:c r="N187" s="80" t="n">
        <x:f>IFERROR(J187/E187,0)</x:f>
        <x:v>28.930576645309433</x:v>
      </x:c>
    </x:row>
    <x:row r="188">
      <x:c r="A188" s="38" t="n">
        <x:v>46060</x:v>
      </x:c>
      <x:c r="B188" t="str">
        <x:v>2026-02</x:v>
      </x:c>
      <x:c r="C188" t="str">
        <x:v>Meta Ads</x:v>
      </x:c>
      <x:c r="D188" t="str">
        <x:v>Retargeting</x:v>
      </x:c>
      <x:c r="E188" s="76" t="n">
        <x:v>889.22</x:v>
      </x:c>
      <x:c r="F188" s="88" t="n">
        <x:v>72243</x:v>
      </x:c>
      <x:c r="G188" s="88" t="n">
        <x:v>1495</x:v>
      </x:c>
      <x:c r="H188" s="88" t="n">
        <x:v>233</x:v>
      </x:c>
      <x:c r="I188" s="88" t="n">
        <x:v>28</x:v>
      </x:c>
      <x:c r="J188" s="76" t="n">
        <x:v>5546.75</x:v>
      </x:c>
      <x:c r="K188" s="78" t="n">
        <x:f>G188/F188</x:f>
        <x:v>0.020694046482012098</x:v>
      </x:c>
      <x:c r="L188" s="78" t="n">
        <x:f>IFERROR(H188/G188,0)</x:f>
        <x:v>0.15585284280936454</x:v>
      </x:c>
      <x:c r="M188" s="76" t="n">
        <x:f>IFERROR(E188/H188,0)</x:f>
        <x:v>3.8163948497854077</x:v>
      </x:c>
      <x:c r="N188" s="80" t="n">
        <x:f>IFERROR(J188/E188,0)</x:f>
        <x:v>6.237770180607724</x:v>
      </x:c>
    </x:row>
    <x:row r="189">
      <x:c r="A189" s="38" t="n">
        <x:v>46161</x:v>
      </x:c>
      <x:c r="B189" t="str">
        <x:v>2026-05</x:v>
      </x:c>
      <x:c r="C189" t="str">
        <x:v>Organic Search</x:v>
      </x:c>
      <x:c r="D189" t="str">
        <x:v>Brand</x:v>
      </x:c>
      <x:c r="E189" s="76" t="n">
        <x:v>136.09</x:v>
      </x:c>
      <x:c r="F189" s="88" t="n">
        <x:v>42982</x:v>
      </x:c>
      <x:c r="G189" s="88" t="n">
        <x:v>1708</x:v>
      </x:c>
      <x:c r="H189" s="88" t="n">
        <x:v>276</x:v>
      </x:c>
      <x:c r="I189" s="88" t="n">
        <x:v>81</x:v>
      </x:c>
      <x:c r="J189" s="76" t="n">
        <x:v>7312.43</x:v>
      </x:c>
      <x:c r="K189" s="78" t="n">
        <x:f>G189/F189</x:f>
        <x:v>0.03973756456190964</x:v>
      </x:c>
      <x:c r="L189" s="78" t="n">
        <x:f>IFERROR(H189/G189,0)</x:f>
        <x:v>0.16159250585480095</x:v>
      </x:c>
      <x:c r="M189" s="76" t="n">
        <x:f>IFERROR(E189/H189,0)</x:f>
        <x:v>0.4930797101449276</x:v>
      </x:c>
      <x:c r="N189" s="80" t="n">
        <x:f>IFERROR(J189/E189,0)</x:f>
        <x:v>53.73230950106547</x:v>
      </x:c>
    </x:row>
    <x:row r="190">
      <x:c r="A190" s="38" t="n">
        <x:v>46080</x:v>
      </x:c>
      <x:c r="B190" t="str">
        <x:v>2026-02</x:v>
      </x:c>
      <x:c r="C190" t="str">
        <x:v>TikTok Ads</x:v>
      </x:c>
      <x:c r="D190" t="str">
        <x:v>Promo</x:v>
      </x:c>
      <x:c r="E190" s="76" t="n">
        <x:v>962.96</x:v>
      </x:c>
      <x:c r="F190" s="88" t="n">
        <x:v>30046</x:v>
      </x:c>
      <x:c r="G190" s="88" t="n">
        <x:v>392</x:v>
      </x:c>
      <x:c r="H190" s="88" t="n">
        <x:v>29</x:v>
      </x:c>
      <x:c r="I190" s="88" t="n">
        <x:v>7</x:v>
      </x:c>
      <x:c r="J190" s="76" t="n">
        <x:v>2572.8</x:v>
      </x:c>
      <x:c r="K190" s="78" t="n">
        <x:f>G190/F190</x:f>
        <x:v>0.013046661785262597</x:v>
      </x:c>
      <x:c r="L190" s="78" t="n">
        <x:f>IFERROR(H190/G190,0)</x:f>
        <x:v>0.07397959183673469</x:v>
      </x:c>
      <x:c r="M190" s="76" t="n">
        <x:f>IFERROR(E190/H190,0)</x:f>
        <x:v>33.20551724137931</x:v>
      </x:c>
      <x:c r="N190" s="80" t="n">
        <x:f>IFERROR(J190/E190,0)</x:f>
        <x:v>2.671762066960206</x:v>
      </x:c>
    </x:row>
    <x:row r="191">
      <x:c r="A191" s="38" t="n">
        <x:v>46155</x:v>
      </x:c>
      <x:c r="B191" t="str">
        <x:v>2026-05</x:v>
      </x:c>
      <x:c r="C191" t="str">
        <x:v>Organic Search</x:v>
      </x:c>
      <x:c r="D191" t="str">
        <x:v>Brand</x:v>
      </x:c>
      <x:c r="E191" s="76" t="n">
        <x:v>182.31</x:v>
      </x:c>
      <x:c r="F191" s="88" t="n">
        <x:v>6642</x:v>
      </x:c>
      <x:c r="G191" s="88" t="n">
        <x:v>56</x:v>
      </x:c>
      <x:c r="H191" s="88" t="n">
        <x:v>6</x:v>
      </x:c>
      <x:c r="I191" s="88" t="n">
        <x:v>1</x:v>
      </x:c>
      <x:c r="J191" s="76" t="n">
        <x:v>359.59</x:v>
      </x:c>
      <x:c r="K191" s="78" t="n">
        <x:f>G191/F191</x:f>
        <x:v>0.008431195423065342</x:v>
      </x:c>
      <x:c r="L191" s="78" t="n">
        <x:f>IFERROR(H191/G191,0)</x:f>
        <x:v>0.10714285714285714</x:v>
      </x:c>
      <x:c r="M191" s="76" t="n">
        <x:f>IFERROR(E191/H191,0)</x:f>
        <x:v>30.385</x:v>
      </x:c>
      <x:c r="N191" s="80" t="n">
        <x:f>IFERROR(J191/E191,0)</x:f>
        <x:v>1.972409631945587</x:v>
      </x:c>
    </x:row>
    <x:row r="192">
      <x:c r="A192" s="38" t="n">
        <x:v>46083</x:v>
      </x:c>
      <x:c r="B192" t="str">
        <x:v>2026-03</x:v>
      </x:c>
      <x:c r="C192" t="str">
        <x:v>Email</x:v>
      </x:c>
      <x:c r="D192" t="str">
        <x:v>Lead Magnet</x:v>
      </x:c>
      <x:c r="E192" s="76" t="n">
        <x:v>140.12</x:v>
      </x:c>
      <x:c r="F192" s="88" t="n">
        <x:v>79324</x:v>
      </x:c>
      <x:c r="G192" s="88" t="n">
        <x:v>2981</x:v>
      </x:c>
      <x:c r="H192" s="88" t="n">
        <x:v>394</x:v>
      </x:c>
      <x:c r="I192" s="88" t="n">
        <x:v>121</x:v>
      </x:c>
      <x:c r="J192" s="76" t="n">
        <x:v>17695.15</x:v>
      </x:c>
      <x:c r="K192" s="78" t="n">
        <x:f>G192/F192</x:f>
        <x:v>0.03758005143462256</x:v>
      </x:c>
      <x:c r="L192" s="78" t="n">
        <x:f>IFERROR(H192/G192,0)</x:f>
        <x:v>0.13217041261321705</x:v>
      </x:c>
      <x:c r="M192" s="76" t="n">
        <x:f>IFERROR(E192/H192,0)</x:f>
        <x:v>0.35563451776649746</x:v>
      </x:c>
      <x:c r="N192" s="80" t="n">
        <x:f>IFERROR(J192/E192,0)</x:f>
        <x:v>126.28568369968599</x:v>
      </x:c>
    </x:row>
    <x:row r="193">
      <x:c r="A193" s="38" t="n">
        <x:v>46183</x:v>
      </x:c>
      <x:c r="B193" t="str">
        <x:v>2026-06</x:v>
      </x:c>
      <x:c r="C193" t="str">
        <x:v>TikTok Ads</x:v>
      </x:c>
      <x:c r="D193" t="str">
        <x:v>Launch</x:v>
      </x:c>
      <x:c r="E193" s="76" t="n">
        <x:v>662.97</x:v>
      </x:c>
      <x:c r="F193" s="88" t="n">
        <x:v>89479</x:v>
      </x:c>
      <x:c r="G193" s="88" t="n">
        <x:v>884</x:v>
      </x:c>
      <x:c r="H193" s="88" t="n">
        <x:v>93</x:v>
      </x:c>
      <x:c r="I193" s="88" t="n">
        <x:v>27</x:v>
      </x:c>
      <x:c r="J193" s="76" t="n">
        <x:v>8737.22</x:v>
      </x:c>
      <x:c r="K193" s="78" t="n">
        <x:f>G193/F193</x:f>
        <x:v>0.00987941304663664</x:v>
      </x:c>
      <x:c r="L193" s="78" t="n">
        <x:f>IFERROR(H193/G193,0)</x:f>
        <x:v>0.10520361990950226</x:v>
      </x:c>
      <x:c r="M193" s="76" t="n">
        <x:f>IFERROR(E193/H193,0)</x:f>
        <x:v>7.128709677419355</x:v>
      </x:c>
      <x:c r="N193" s="80" t="n">
        <x:f>IFERROR(J193/E193,0)</x:f>
        <x:v>13.178907039534216</x:v>
      </x:c>
    </x:row>
    <x:row r="194">
      <x:c r="A194" s="38" t="n">
        <x:v>46167</x:v>
      </x:c>
      <x:c r="B194" t="str">
        <x:v>2026-05</x:v>
      </x:c>
      <x:c r="C194" t="str">
        <x:v>Email</x:v>
      </x:c>
      <x:c r="D194" t="str">
        <x:v>Brand</x:v>
      </x:c>
      <x:c r="E194" s="76" t="n">
        <x:v>173.17</x:v>
      </x:c>
      <x:c r="F194" s="88" t="n">
        <x:v>75891</x:v>
      </x:c>
      <x:c r="G194" s="88" t="n">
        <x:v>2572</x:v>
      </x:c>
      <x:c r="H194" s="88" t="n">
        <x:v>299</x:v>
      </x:c>
      <x:c r="I194" s="88" t="n">
        <x:v>30</x:v>
      </x:c>
      <x:c r="J194" s="76" t="n">
        <x:v>4182.13</x:v>
      </x:c>
      <x:c r="K194" s="78" t="n">
        <x:f>G194/F194</x:f>
        <x:v>0.033890711678591666</x:v>
      </x:c>
      <x:c r="L194" s="78" t="n">
        <x:f>IFERROR(H194/G194,0)</x:f>
        <x:v>0.11625194401244168</x:v>
      </x:c>
      <x:c r="M194" s="76" t="n">
        <x:f>IFERROR(E194/H194,0)</x:f>
        <x:v>0.5791638795986621</x:v>
      </x:c>
      <x:c r="N194" s="80" t="n">
        <x:f>IFERROR(J194/E194,0)</x:f>
        <x:v>24.15043021308541</x:v>
      </x:c>
    </x:row>
    <x:row r="195">
      <x:c r="A195" s="38" t="n">
        <x:v>46054</x:v>
      </x:c>
      <x:c r="B195" t="str">
        <x:v>2026-02</x:v>
      </x:c>
      <x:c r="C195" t="str">
        <x:v>TikTok Ads</x:v>
      </x:c>
      <x:c r="D195" t="str">
        <x:v>Launch</x:v>
      </x:c>
      <x:c r="E195" s="76" t="n">
        <x:v>919.72</x:v>
      </x:c>
      <x:c r="F195" s="88" t="n">
        <x:v>41313</x:v>
      </x:c>
      <x:c r="G195" s="88" t="n">
        <x:v>923</x:v>
      </x:c>
      <x:c r="H195" s="88" t="n">
        <x:v>27</x:v>
      </x:c>
      <x:c r="I195" s="88" t="n">
        <x:v>2</x:v>
      </x:c>
      <x:c r="J195" s="76" t="n">
        <x:v>569.28</x:v>
      </x:c>
      <x:c r="K195" s="78" t="n">
        <x:f>G195/F195</x:f>
        <x:v>0.02234163580471038</x:v>
      </x:c>
      <x:c r="L195" s="78" t="n">
        <x:f>IFERROR(H195/G195,0)</x:f>
        <x:v>0.02925243770314193</x:v>
      </x:c>
      <x:c r="M195" s="76" t="n">
        <x:f>IFERROR(E195/H195,0)</x:f>
        <x:v>34.0637037037037</x:v>
      </x:c>
      <x:c r="N195" s="80" t="n">
        <x:f>IFERROR(J195/E195,0)</x:f>
        <x:v>0.618970991171226</x:v>
      </x:c>
    </x:row>
    <x:row r="196">
      <x:c r="A196" s="38" t="n">
        <x:v>46169</x:v>
      </x:c>
      <x:c r="B196" t="str">
        <x:v>2026-05</x:v>
      </x:c>
      <x:c r="C196" t="str">
        <x:v>Organic Search</x:v>
      </x:c>
      <x:c r="D196" t="str">
        <x:v>Brand</x:v>
      </x:c>
      <x:c r="E196" s="76" t="n">
        <x:v>133.95</x:v>
      </x:c>
      <x:c r="F196" s="88" t="n">
        <x:v>68758</x:v>
      </x:c>
      <x:c r="G196" s="88" t="n">
        <x:v>1734</x:v>
      </x:c>
      <x:c r="H196" s="88" t="n">
        <x:v>311</x:v>
      </x:c>
      <x:c r="I196" s="88" t="n">
        <x:v>53</x:v>
      </x:c>
      <x:c r="J196" s="76" t="n">
        <x:v>7200.62</x:v>
      </x:c>
      <x:c r="K196" s="78" t="n">
        <x:f>G196/F196</x:f>
        <x:v>0.025218883620815032</x:v>
      </x:c>
      <x:c r="L196" s="78" t="n">
        <x:f>IFERROR(H196/G196,0)</x:f>
        <x:v>0.17935409457900808</x:v>
      </x:c>
      <x:c r="M196" s="76" t="n">
        <x:f>IFERROR(E196/H196,0)</x:f>
        <x:v>0.43070739549839226</x:v>
      </x:c>
      <x:c r="N196" s="80" t="n">
        <x:f>IFERROR(J196/E196,0)</x:f>
        <x:v>53.75602836879433</x:v>
      </x:c>
    </x:row>
    <x:row r="197">
      <x:c r="A197" s="38" t="n">
        <x:v>46187</x:v>
      </x:c>
      <x:c r="B197" t="str">
        <x:v>2026-06</x:v>
      </x:c>
      <x:c r="C197" t="str">
        <x:v>Organic Search</x:v>
      </x:c>
      <x:c r="D197" t="str">
        <x:v>Retargeting</x:v>
      </x:c>
      <x:c r="E197" s="76" t="n">
        <x:v>16.09</x:v>
      </x:c>
      <x:c r="F197" s="88" t="n">
        <x:v>21122</x:v>
      </x:c>
      <x:c r="G197" s="88" t="n">
        <x:v>1153</x:v>
      </x:c>
      <x:c r="H197" s="88" t="n">
        <x:v>81</x:v>
      </x:c>
      <x:c r="I197" s="88" t="n">
        <x:v>22</x:v>
      </x:c>
      <x:c r="J197" s="76" t="n">
        <x:v>6935.35</x:v>
      </x:c>
      <x:c r="K197" s="78" t="n">
        <x:f>G197/F197</x:f>
        <x:v>0.05458763374680428</x:v>
      </x:c>
      <x:c r="L197" s="78" t="n">
        <x:f>IFERROR(H197/G197,0)</x:f>
        <x:v>0.07025151777970512</x:v>
      </x:c>
      <x:c r="M197" s="76" t="n">
        <x:f>IFERROR(E197/H197,0)</x:f>
        <x:v>0.19864197530864197</x:v>
      </x:c>
      <x:c r="N197" s="80" t="n">
        <x:f>IFERROR(J197/E197,0)</x:f>
        <x:v>431.0348042262275</x:v>
      </x:c>
    </x:row>
    <x:row r="198">
      <x:c r="A198" s="38" t="n">
        <x:v>46200</x:v>
      </x:c>
      <x:c r="B198" t="str">
        <x:v>2026-06</x:v>
      </x:c>
      <x:c r="C198" t="str">
        <x:v>Google Ads</x:v>
      </x:c>
      <x:c r="D198" t="str">
        <x:v>Launch</x:v>
      </x:c>
      <x:c r="E198" s="76" t="n">
        <x:v>1083.73</x:v>
      </x:c>
      <x:c r="F198" s="88" t="n">
        <x:v>79777</x:v>
      </x:c>
      <x:c r="G198" s="88" t="n">
        <x:v>5544</x:v>
      </x:c>
      <x:c r="H198" s="88" t="n">
        <x:v>359</x:v>
      </x:c>
      <x:c r="I198" s="88" t="n">
        <x:v>112</x:v>
      </x:c>
      <x:c r="J198" s="76" t="n">
        <x:v>20733.41</x:v>
      </x:c>
      <x:c r="K198" s="78" t="n">
        <x:f>G198/F198</x:f>
        <x:v>0.06949371372701404</x:v>
      </x:c>
      <x:c r="L198" s="78" t="n">
        <x:f>IFERROR(H198/G198,0)</x:f>
        <x:v>0.06475468975468976</x:v>
      </x:c>
      <x:c r="M198" s="76" t="n">
        <x:f>IFERROR(E198/H198,0)</x:f>
        <x:v>3.0187465181058495</x:v>
      </x:c>
      <x:c r="N198" s="80" t="n">
        <x:f>IFERROR(J198/E198,0)</x:f>
        <x:v>19.131527225415923</x:v>
      </x:c>
    </x:row>
    <x:row r="199">
      <x:c r="A199" s="38" t="n">
        <x:v>46086</x:v>
      </x:c>
      <x:c r="B199" t="str">
        <x:v>2026-03</x:v>
      </x:c>
      <x:c r="C199" t="str">
        <x:v>Meta Ads</x:v>
      </x:c>
      <x:c r="D199" t="str">
        <x:v>Promo</x:v>
      </x:c>
      <x:c r="E199" s="76" t="n">
        <x:v>311.47</x:v>
      </x:c>
      <x:c r="F199" s="88" t="n">
        <x:v>9092</x:v>
      </x:c>
      <x:c r="G199" s="88" t="n">
        <x:v>62</x:v>
      </x:c>
      <x:c r="H199" s="88" t="n">
        <x:v>7</x:v>
      </x:c>
      <x:c r="I199" s="88" t="n">
        <x:v>1</x:v>
      </x:c>
      <x:c r="J199" s="76" t="n">
        <x:v>376.35</x:v>
      </x:c>
      <x:c r="K199" s="78" t="n">
        <x:f>G199/F199</x:f>
        <x:v>0.006819181698196217</x:v>
      </x:c>
      <x:c r="L199" s="78" t="n">
        <x:f>IFERROR(H199/G199,0)</x:f>
        <x:v>0.11290322580645161</x:v>
      </x:c>
      <x:c r="M199" s="76" t="n">
        <x:f>IFERROR(E199/H199,0)</x:f>
        <x:v>44.49571428571429</x:v>
      </x:c>
      <x:c r="N199" s="80" t="n">
        <x:f>IFERROR(J199/E199,0)</x:f>
        <x:v>1.2083025652550807</x:v>
      </x:c>
    </x:row>
    <x:row r="200">
      <x:c r="A200" s="38" t="n">
        <x:v>46183</x:v>
      </x:c>
      <x:c r="B200" t="str">
        <x:v>2026-06</x:v>
      </x:c>
      <x:c r="C200" t="str">
        <x:v>Influencers</x:v>
      </x:c>
      <x:c r="D200" t="str">
        <x:v>Launch</x:v>
      </x:c>
      <x:c r="E200" s="76" t="n">
        <x:v>869.46</x:v>
      </x:c>
      <x:c r="F200" s="88" t="n">
        <x:v>14896</x:v>
      </x:c>
      <x:c r="G200" s="88" t="n">
        <x:v>275</x:v>
      </x:c>
      <x:c r="H200" s="88" t="n">
        <x:v>48</x:v>
      </x:c>
      <x:c r="I200" s="88" t="n">
        <x:v>5</x:v>
      </x:c>
      <x:c r="J200" s="76" t="n">
        <x:v>2004.24</x:v>
      </x:c>
      <x:c r="K200" s="78" t="n">
        <x:f>G200/F200</x:f>
        <x:v>0.018461331901181526</x:v>
      </x:c>
      <x:c r="L200" s="78" t="n">
        <x:f>IFERROR(H200/G200,0)</x:f>
        <x:v>0.17454545454545456</x:v>
      </x:c>
      <x:c r="M200" s="76" t="n">
        <x:f>IFERROR(E200/H200,0)</x:f>
        <x:v>18.11375</x:v>
      </x:c>
      <x:c r="N200" s="80" t="n">
        <x:f>IFERROR(J200/E200,0)</x:f>
        <x:v>2.305154923745773</x:v>
      </x:c>
    </x:row>
    <x:row r="201">
      <x:c r="A201" s="38" t="n">
        <x:v>46066</x:v>
      </x:c>
      <x:c r="B201" t="str">
        <x:v>2026-02</x:v>
      </x:c>
      <x:c r="C201" t="str">
        <x:v>Email</x:v>
      </x:c>
      <x:c r="D201" t="str">
        <x:v>Seasonal</x:v>
      </x:c>
      <x:c r="E201" s="76" t="n">
        <x:v>156.65</x:v>
      </x:c>
      <x:c r="F201" s="88" t="n">
        <x:v>27745</x:v>
      </x:c>
      <x:c r="G201" s="88" t="n">
        <x:v>1674</x:v>
      </x:c>
      <x:c r="H201" s="88" t="n">
        <x:v>121</x:v>
      </x:c>
      <x:c r="I201" s="88" t="n">
        <x:v>29</x:v>
      </x:c>
      <x:c r="J201" s="76" t="n">
        <x:v>8103.93</x:v>
      </x:c>
      <x:c r="K201" s="78" t="n">
        <x:f>G201/F201</x:f>
        <x:v>0.060335195530726256</x:v>
      </x:c>
      <x:c r="L201" s="78" t="n">
        <x:f>IFERROR(H201/G201,0)</x:f>
        <x:v>0.07228195937873358</x:v>
      </x:c>
      <x:c r="M201" s="76" t="n">
        <x:f>IFERROR(E201/H201,0)</x:f>
        <x:v>1.2946280991735537</x:v>
      </x:c>
      <x:c r="N201" s="80" t="n">
        <x:f>IFERROR(J201/E201,0)</x:f>
        <x:v>51.73271624640919</x:v>
      </x:c>
    </x:row>
    <x:row r="202">
      <x:c r="A202" s="38" t="n">
        <x:v>46181</x:v>
      </x:c>
      <x:c r="B202" t="str">
        <x:v>2026-06</x:v>
      </x:c>
      <x:c r="C202" t="str">
        <x:v>Organic Search</x:v>
      </x:c>
      <x:c r="D202" t="str">
        <x:v>Retargeting</x:v>
      </x:c>
      <x:c r="E202" s="76" t="n">
        <x:v>160.92</x:v>
      </x:c>
      <x:c r="F202" s="88" t="n">
        <x:v>23117</x:v>
      </x:c>
      <x:c r="G202" s="88" t="n">
        <x:v>1323</x:v>
      </x:c>
      <x:c r="H202" s="88" t="n">
        <x:v>198</x:v>
      </x:c>
      <x:c r="I202" s="88" t="n">
        <x:v>18</x:v>
      </x:c>
      <x:c r="J202" s="76" t="n">
        <x:v>6363.98</x:v>
      </x:c>
      <x:c r="K202" s="78" t="n">
        <x:f>G202/F202</x:f>
        <x:v>0.05723060950815417</x:v>
      </x:c>
      <x:c r="L202" s="78" t="n">
        <x:f>IFERROR(H202/G202,0)</x:f>
        <x:v>0.14965986394557823</x:v>
      </x:c>
      <x:c r="M202" s="76" t="n">
        <x:f>IFERROR(E202/H202,0)</x:f>
        <x:v>0.8127272727272726</x:v>
      </x:c>
      <x:c r="N202" s="80" t="n">
        <x:f>IFERROR(J202/E202,0)</x:f>
        <x:v>39.54747700720855</x:v>
      </x:c>
    </x:row>
    <x:row r="203">
      <x:c r="A203" s="38" t="n">
        <x:v>46158</x:v>
      </x:c>
      <x:c r="B203" t="str">
        <x:v>2026-05</x:v>
      </x:c>
      <x:c r="C203" t="str">
        <x:v>Influencers</x:v>
      </x:c>
      <x:c r="D203" t="str">
        <x:v>Promo</x:v>
      </x:c>
      <x:c r="E203" s="76" t="n">
        <x:v>68.14</x:v>
      </x:c>
      <x:c r="F203" s="88" t="n">
        <x:v>73626</x:v>
      </x:c>
      <x:c r="G203" s="88" t="n">
        <x:v>1483</x:v>
      </x:c>
      <x:c r="H203" s="88" t="n">
        <x:v>79</x:v>
      </x:c>
      <x:c r="I203" s="88" t="n">
        <x:v>10</x:v>
      </x:c>
      <x:c r="J203" s="76" t="n">
        <x:v>2062.83</x:v>
      </x:c>
      <x:c r="K203" s="78" t="n">
        <x:f>G203/F203</x:f>
        <x:v>0.020142341020835033</x:v>
      </x:c>
      <x:c r="L203" s="78" t="n">
        <x:f>IFERROR(H203/G203,0)</x:f>
        <x:v>0.053270397842211735</x:v>
      </x:c>
      <x:c r="M203" s="76" t="n">
        <x:f>IFERROR(E203/H203,0)</x:f>
        <x:v>0.8625316455696203</x:v>
      </x:c>
      <x:c r="N203" s="80" t="n">
        <x:f>IFERROR(J203/E203,0)</x:f>
        <x:v>30.273407690049897</x:v>
      </x:c>
    </x:row>
    <x:row r="204">
      <x:c r="A204" s="38" t="n">
        <x:v>46180</x:v>
      </x:c>
      <x:c r="B204" t="str">
        <x:v>2026-06</x:v>
      </x:c>
      <x:c r="C204" t="str">
        <x:v>Email</x:v>
      </x:c>
      <x:c r="D204" t="str">
        <x:v>Retargeting</x:v>
      </x:c>
      <x:c r="E204" s="76" t="n">
        <x:v>8.49</x:v>
      </x:c>
      <x:c r="F204" s="88" t="n">
        <x:v>63158</x:v>
      </x:c>
      <x:c r="G204" s="88" t="n">
        <x:v>3759</x:v>
      </x:c>
      <x:c r="H204" s="88" t="n">
        <x:v>107</x:v>
      </x:c>
      <x:c r="I204" s="88" t="n">
        <x:v>12</x:v>
      </x:c>
      <x:c r="J204" s="76" t="n">
        <x:v>770.88</x:v>
      </x:c>
      <x:c r="K204" s="78" t="n">
        <x:f>G204/F204</x:f>
        <x:v>0.059517400804331995</x:v>
      </x:c>
      <x:c r="L204" s="78" t="n">
        <x:f>IFERROR(H204/G204,0)</x:f>
        <x:v>0.028465017291832935</x:v>
      </x:c>
      <x:c r="M204" s="76" t="n">
        <x:f>IFERROR(E204/H204,0)</x:f>
        <x:v>0.07934579439252337</x:v>
      </x:c>
      <x:c r="N204" s="80" t="n">
        <x:f>IFERROR(J204/E204,0)</x:f>
        <x:v>90.79858657243815</x:v>
      </x:c>
    </x:row>
    <x:row r="205">
      <x:c r="A205" s="38" t="n">
        <x:v>46173</x:v>
      </x:c>
      <x:c r="B205" t="str">
        <x:v>2026-05</x:v>
      </x:c>
      <x:c r="C205" t="str">
        <x:v>Organic Search</x:v>
      </x:c>
      <x:c r="D205" t="str">
        <x:v>Promo</x:v>
      </x:c>
      <x:c r="E205" s="76" t="n">
        <x:v>19.96</x:v>
      </x:c>
      <x:c r="F205" s="88" t="n">
        <x:v>46734</x:v>
      </x:c>
      <x:c r="G205" s="88" t="n">
        <x:v>2776</x:v>
      </x:c>
      <x:c r="H205" s="88" t="n">
        <x:v>424</x:v>
      </x:c>
      <x:c r="I205" s="88" t="n">
        <x:v>120</x:v>
      </x:c>
      <x:c r="J205" s="76" t="n">
        <x:v>41499.28</x:v>
      </x:c>
      <x:c r="K205" s="78" t="n">
        <x:f>G205/F205</x:f>
        <x:v>0.059400008559079044</x:v>
      </x:c>
      <x:c r="L205" s="78" t="n">
        <x:f>IFERROR(H205/G205,0)</x:f>
        <x:v>0.15273775216138327</x:v>
      </x:c>
      <x:c r="M205" s="76" t="n">
        <x:f>IFERROR(E205/H205,0)</x:f>
        <x:v>0.04707547169811321</x:v>
      </x:c>
      <x:c r="N205" s="80" t="n">
        <x:f>IFERROR(J205/E205,0)</x:f>
        <x:v>2079.1222444889777</x:v>
      </x:c>
    </x:row>
    <x:row r="206">
      <x:c r="A206" s="38" t="n">
        <x:v>46077</x:v>
      </x:c>
      <x:c r="B206" t="str">
        <x:v>2026-02</x:v>
      </x:c>
      <x:c r="C206" t="str">
        <x:v>Organic Search</x:v>
      </x:c>
      <x:c r="D206" t="str">
        <x:v>Lead Magnet</x:v>
      </x:c>
      <x:c r="E206" s="76" t="n">
        <x:v>40.89</x:v>
      </x:c>
      <x:c r="F206" s="88" t="n">
        <x:v>77121</x:v>
      </x:c>
      <x:c r="G206" s="88" t="n">
        <x:v>1160</x:v>
      </x:c>
      <x:c r="H206" s="88" t="n">
        <x:v>201</x:v>
      </x:c>
      <x:c r="I206" s="88" t="n">
        <x:v>48</x:v>
      </x:c>
      <x:c r="J206" s="76" t="n">
        <x:v>4971.9</x:v>
      </x:c>
      <x:c r="K206" s="78" t="n">
        <x:f>G206/F206</x:f>
        <x:v>0.015041298738346235</x:v>
      </x:c>
      <x:c r="L206" s="78" t="n">
        <x:f>IFERROR(H206/G206,0)</x:f>
        <x:v>0.17327586206896553</x:v>
      </x:c>
      <x:c r="M206" s="76" t="n">
        <x:f>IFERROR(E206/H206,0)</x:f>
        <x:v>0.20343283582089552</x:v>
      </x:c>
      <x:c r="N206" s="80" t="n">
        <x:f>IFERROR(J206/E206,0)</x:f>
        <x:v>121.59207630227438</x:v>
      </x:c>
    </x:row>
    <x:row r="207">
      <x:c r="A207" s="38" t="n">
        <x:v>46093</x:v>
      </x:c>
      <x:c r="B207" t="str">
        <x:v>2026-03</x:v>
      </x:c>
      <x:c r="C207" t="str">
        <x:v>Meta Ads</x:v>
      </x:c>
      <x:c r="D207" t="str">
        <x:v>Brand</x:v>
      </x:c>
      <x:c r="E207" s="76" t="n">
        <x:v>723.18</x:v>
      </x:c>
      <x:c r="F207" s="88" t="n">
        <x:v>49149</x:v>
      </x:c>
      <x:c r="G207" s="88" t="n">
        <x:v>2052</x:v>
      </x:c>
      <x:c r="H207" s="88" t="n">
        <x:v>286</x:v>
      </x:c>
      <x:c r="I207" s="88" t="n">
        <x:v>53</x:v>
      </x:c>
      <x:c r="J207" s="76" t="n">
        <x:v>15925.15</x:v>
      </x:c>
      <x:c r="K207" s="78" t="n">
        <x:f>G207/F207</x:f>
        <x:v>0.041750595129097234</x:v>
      </x:c>
      <x:c r="L207" s="78" t="n">
        <x:f>IFERROR(H207/G207,0)</x:f>
        <x:v>0.13937621832358674</x:v>
      </x:c>
      <x:c r="M207" s="76" t="n">
        <x:f>IFERROR(E207/H207,0)</x:f>
        <x:v>2.528601398601398</x:v>
      </x:c>
      <x:c r="N207" s="80" t="n">
        <x:f>IFERROR(J207/E207,0)</x:f>
        <x:v>22.021004452556763</x:v>
      </x:c>
    </x:row>
    <x:row r="208">
      <x:c r="A208" s="38" t="n">
        <x:v>46119</x:v>
      </x:c>
      <x:c r="B208" t="str">
        <x:v>2026-04</x:v>
      </x:c>
      <x:c r="C208" t="str">
        <x:v>Influencers</x:v>
      </x:c>
      <x:c r="D208" t="str">
        <x:v>Launch</x:v>
      </x:c>
      <x:c r="E208" s="76" t="n">
        <x:v>1190.99</x:v>
      </x:c>
      <x:c r="F208" s="88" t="n">
        <x:v>7411</x:v>
      </x:c>
      <x:c r="G208" s="88" t="n">
        <x:v>198</x:v>
      </x:c>
      <x:c r="H208" s="88" t="n">
        <x:v>16</x:v>
      </x:c>
      <x:c r="I208" s="88" t="n">
        <x:v>2</x:v>
      </x:c>
      <x:c r="J208" s="76" t="n">
        <x:v>638.61</x:v>
      </x:c>
      <x:c r="K208" s="78" t="n">
        <x:f>G208/F208</x:f>
        <x:v>0.02671704223451626</x:v>
      </x:c>
      <x:c r="L208" s="78" t="n">
        <x:f>IFERROR(H208/G208,0)</x:f>
        <x:v>0.08080808080808081</x:v>
      </x:c>
      <x:c r="M208" s="76" t="n">
        <x:f>IFERROR(E208/H208,0)</x:f>
        <x:v>74.436875</x:v>
      </x:c>
      <x:c r="N208" s="80" t="n">
        <x:f>IFERROR(J208/E208,0)</x:f>
        <x:v>0.5362009756589057</x:v>
      </x:c>
    </x:row>
    <x:row r="209">
      <x:c r="A209" s="38" t="n">
        <x:v>46161</x:v>
      </x:c>
      <x:c r="B209" t="str">
        <x:v>2026-05</x:v>
      </x:c>
      <x:c r="C209" t="str">
        <x:v>Email</x:v>
      </x:c>
      <x:c r="D209" t="str">
        <x:v>Promo</x:v>
      </x:c>
      <x:c r="E209" s="76" t="n">
        <x:v>104.82</x:v>
      </x:c>
      <x:c r="F209" s="88" t="n">
        <x:v>73784</x:v>
      </x:c>
      <x:c r="G209" s="88" t="n">
        <x:v>1779</x:v>
      </x:c>
      <x:c r="H209" s="88" t="n">
        <x:v>282</x:v>
      </x:c>
      <x:c r="I209" s="88" t="n">
        <x:v>94</x:v>
      </x:c>
      <x:c r="J209" s="76" t="n">
        <x:v>40795.41</x:v>
      </x:c>
      <x:c r="K209" s="78" t="n">
        <x:f>G209/F209</x:f>
        <x:v>0.024110918356283206</x:v>
      </x:c>
      <x:c r="L209" s="78" t="n">
        <x:f>IFERROR(H209/G209,0)</x:f>
        <x:v>0.15851602023608768</x:v>
      </x:c>
      <x:c r="M209" s="76" t="n">
        <x:f>IFERROR(E209/H209,0)</x:f>
        <x:v>0.37170212765957444</x:v>
      </x:c>
      <x:c r="N209" s="80" t="n">
        <x:f>IFERROR(J209/E209,0)</x:f>
        <x:v>389.1949055523756</x:v>
      </x:c>
    </x:row>
    <x:row r="210">
      <x:c r="A210" s="38" t="n">
        <x:v>46166</x:v>
      </x:c>
      <x:c r="B210" t="str">
        <x:v>2026-05</x:v>
      </x:c>
      <x:c r="C210" t="str">
        <x:v>Meta Ads</x:v>
      </x:c>
      <x:c r="D210" t="str">
        <x:v>Promo</x:v>
      </x:c>
      <x:c r="E210" s="76" t="n">
        <x:v>222.4</x:v>
      </x:c>
      <x:c r="F210" s="88" t="n">
        <x:v>71893</x:v>
      </x:c>
      <x:c r="G210" s="88" t="n">
        <x:v>1924</x:v>
      </x:c>
      <x:c r="H210" s="88" t="n">
        <x:v>290</x:v>
      </x:c>
      <x:c r="I210" s="88" t="n">
        <x:v>79</x:v>
      </x:c>
      <x:c r="J210" s="76" t="n">
        <x:v>15807.15</x:v>
      </x:c>
      <x:c r="K210" s="78" t="n">
        <x:f>G210/F210</x:f>
        <x:v>0.02676199351814502</x:v>
      </x:c>
      <x:c r="L210" s="78" t="n">
        <x:f>IFERROR(H210/G210,0)</x:f>
        <x:v>0.15072765072765074</x:v>
      </x:c>
      <x:c r="M210" s="76" t="n">
        <x:f>IFERROR(E210/H210,0)</x:f>
        <x:v>0.766896551724138</x:v>
      </x:c>
      <x:c r="N210" s="80" t="n">
        <x:f>IFERROR(J210/E210,0)</x:f>
        <x:v>71.07531474820144</x:v>
      </x:c>
    </x:row>
    <x:row r="211">
      <x:c r="A211" s="38" t="n">
        <x:v>46129</x:v>
      </x:c>
      <x:c r="B211" t="str">
        <x:v>2026-04</x:v>
      </x:c>
      <x:c r="C211" t="str">
        <x:v>Influencers</x:v>
      </x:c>
      <x:c r="D211" t="str">
        <x:v>Seasonal</x:v>
      </x:c>
      <x:c r="E211" s="76" t="n">
        <x:v>327.71</x:v>
      </x:c>
      <x:c r="F211" s="88" t="n">
        <x:v>59329</x:v>
      </x:c>
      <x:c r="G211" s="88" t="n">
        <x:v>3751</x:v>
      </x:c>
      <x:c r="H211" s="88" t="n">
        <x:v>672</x:v>
      </x:c>
      <x:c r="I211" s="88" t="n">
        <x:v>209</x:v>
      </x:c>
      <x:c r="J211" s="76" t="n">
        <x:v>81265.33</x:v>
      </x:c>
      <x:c r="K211" s="78" t="n">
        <x:f>G211/F211</x:f>
        <x:v>0.06322371858618887</x:v>
      </x:c>
      <x:c r="L211" s="78" t="n">
        <x:f>IFERROR(H211/G211,0)</x:f>
        <x:v>0.17915222607304718</x:v>
      </x:c>
      <x:c r="M211" s="76" t="n">
        <x:f>IFERROR(E211/H211,0)</x:f>
        <x:v>0.48766369047619046</x:v>
      </x:c>
      <x:c r="N211" s="80" t="n">
        <x:f>IFERROR(J211/E211,0)</x:f>
        <x:v>247.9794025205212</x:v>
      </x:c>
    </x:row>
    <x:row r="212">
      <x:c r="A212" s="38" t="n">
        <x:v>46195</x:v>
      </x:c>
      <x:c r="B212" t="str">
        <x:v>2026-06</x:v>
      </x:c>
      <x:c r="C212" t="str">
        <x:v>Email</x:v>
      </x:c>
      <x:c r="D212" t="str">
        <x:v>Retargeting</x:v>
      </x:c>
      <x:c r="E212" s="76" t="n">
        <x:v>74.37</x:v>
      </x:c>
      <x:c r="F212" s="88" t="n">
        <x:v>88172</x:v>
      </x:c>
      <x:c r="G212" s="88" t="n">
        <x:v>1263</x:v>
      </x:c>
      <x:c r="H212" s="88" t="n">
        <x:v>67</x:v>
      </x:c>
      <x:c r="I212" s="88" t="n">
        <x:v>11</x:v>
      </x:c>
      <x:c r="J212" s="76" t="n">
        <x:v>998.31</x:v>
      </x:c>
      <x:c r="K212" s="78" t="n">
        <x:f>G212/F212</x:f>
        <x:v>0.014324275280134283</x:v>
      </x:c>
      <x:c r="L212" s="78" t="n">
        <x:f>IFERROR(H212/G212,0)</x:f>
        <x:v>0.05304829770387965</x:v>
      </x:c>
      <x:c r="M212" s="76" t="n">
        <x:f>IFERROR(E212/H212,0)</x:f>
        <x:v>1.11</x:v>
      </x:c>
      <x:c r="N212" s="80" t="n">
        <x:f>IFERROR(J212/E212,0)</x:f>
        <x:v>13.423557886244453</x:v>
      </x:c>
    </x:row>
    <x:row r="213">
      <x:c r="A213" s="38" t="n">
        <x:v>46121</x:v>
      </x:c>
      <x:c r="B213" t="str">
        <x:v>2026-04</x:v>
      </x:c>
      <x:c r="C213" t="str">
        <x:v>Organic Search</x:v>
      </x:c>
      <x:c r="D213" t="str">
        <x:v>Brand</x:v>
      </x:c>
      <x:c r="E213" s="76" t="n">
        <x:v>86.22</x:v>
      </x:c>
      <x:c r="F213" s="88" t="n">
        <x:v>19977</x:v>
      </x:c>
      <x:c r="G213" s="88" t="n">
        <x:v>176</x:v>
      </x:c>
      <x:c r="H213" s="88" t="n">
        <x:v>26</x:v>
      </x:c>
      <x:c r="I213" s="88" t="n">
        <x:v>7</x:v>
      </x:c>
      <x:c r="J213" s="76" t="n">
        <x:v>2484.57</x:v>
      </x:c>
      <x:c r="K213" s="78" t="n">
        <x:f>G213/F213</x:f>
        <x:v>0.008810131651399109</x:v>
      </x:c>
      <x:c r="L213" s="78" t="n">
        <x:f>IFERROR(H213/G213,0)</x:f>
        <x:v>0.14772727272727273</x:v>
      </x:c>
      <x:c r="M213" s="76" t="n">
        <x:f>IFERROR(E213/H213,0)</x:f>
        <x:v>3.316153846153846</x:v>
      </x:c>
      <x:c r="N213" s="80" t="n">
        <x:f>IFERROR(J213/E213,0)</x:f>
        <x:v>28.816631871955465</x:v>
      </x:c>
    </x:row>
    <x:row r="214">
      <x:c r="A214" s="38" t="n">
        <x:v>46170</x:v>
      </x:c>
      <x:c r="B214" t="str">
        <x:v>2026-05</x:v>
      </x:c>
      <x:c r="C214" t="str">
        <x:v>Email</x:v>
      </x:c>
      <x:c r="D214" t="str">
        <x:v>Retargeting</x:v>
      </x:c>
      <x:c r="E214" s="76" t="n">
        <x:v>47.4</x:v>
      </x:c>
      <x:c r="F214" s="88" t="n">
        <x:v>75899</x:v>
      </x:c>
      <x:c r="G214" s="88" t="n">
        <x:v>3570</x:v>
      </x:c>
      <x:c r="H214" s="88" t="n">
        <x:v>303</x:v>
      </x:c>
      <x:c r="I214" s="88" t="n">
        <x:v>61</x:v>
      </x:c>
      <x:c r="J214" s="76" t="n">
        <x:v>24440.93</x:v>
      </x:c>
      <x:c r="K214" s="78" t="n">
        <x:f>G214/F214</x:f>
        <x:v>0.04703619283521522</x:v>
      </x:c>
      <x:c r="L214" s="78" t="n">
        <x:f>IFERROR(H214/G214,0)</x:f>
        <x:v>0.08487394957983194</x:v>
      </x:c>
      <x:c r="M214" s="76" t="n">
        <x:f>IFERROR(E214/H214,0)</x:f>
        <x:v>0.15643564356435644</x:v>
      </x:c>
      <x:c r="N214" s="80" t="n">
        <x:f>IFERROR(J214/E214,0)</x:f>
        <x:v>515.6314345991561</x:v>
      </x:c>
    </x:row>
    <x:row r="215">
      <x:c r="A215" s="38" t="n">
        <x:v>46133</x:v>
      </x:c>
      <x:c r="B215" t="str">
        <x:v>2026-04</x:v>
      </x:c>
      <x:c r="C215" t="str">
        <x:v>Organic Search</x:v>
      </x:c>
      <x:c r="D215" t="str">
        <x:v>Seasonal</x:v>
      </x:c>
      <x:c r="E215" s="76" t="n">
        <x:v>18.62</x:v>
      </x:c>
      <x:c r="F215" s="88" t="n">
        <x:v>55825</x:v>
      </x:c>
      <x:c r="G215" s="88" t="n">
        <x:v>1994</x:v>
      </x:c>
      <x:c r="H215" s="88" t="n">
        <x:v>309</x:v>
      </x:c>
      <x:c r="I215" s="88" t="n">
        <x:v>63</x:v>
      </x:c>
      <x:c r="J215" s="76" t="n">
        <x:v>21401.84</x:v>
      </x:c>
      <x:c r="K215" s="78" t="n">
        <x:f>G215/F215</x:f>
        <x:v>0.03571876399462606</x:v>
      </x:c>
      <x:c r="L215" s="78" t="n">
        <x:f>IFERROR(H215/G215,0)</x:f>
        <x:v>0.15496489468405217</x:v>
      </x:c>
      <x:c r="M215" s="76" t="n">
        <x:f>IFERROR(E215/H215,0)</x:f>
        <x:v>0.060258899676375405</x:v>
      </x:c>
      <x:c r="N215" s="80" t="n">
        <x:f>IFERROR(J215/E215,0)</x:f>
        <x:v>1149.4006444683137</x:v>
      </x:c>
    </x:row>
    <x:row r="216">
      <x:c r="A216" s="38" t="n">
        <x:v>46050</x:v>
      </x:c>
      <x:c r="B216" t="str">
        <x:v>2026-01</x:v>
      </x:c>
      <x:c r="C216" t="str">
        <x:v>Email</x:v>
      </x:c>
      <x:c r="D216" t="str">
        <x:v>Promo</x:v>
      </x:c>
      <x:c r="E216" s="76" t="n">
        <x:v>78.03</x:v>
      </x:c>
      <x:c r="F216" s="88" t="n">
        <x:v>82378</x:v>
      </x:c>
      <x:c r="G216" s="88" t="n">
        <x:v>2868</x:v>
      </x:c>
      <x:c r="H216" s="88" t="n">
        <x:v>105</x:v>
      </x:c>
      <x:c r="I216" s="88" t="n">
        <x:v>14</x:v>
      </x:c>
      <x:c r="J216" s="76" t="n">
        <x:v>5346.5</x:v>
      </x:c>
      <x:c r="K216" s="78" t="n">
        <x:f>G216/F216</x:f>
        <x:v>0.03481512054189225</x:v>
      </x:c>
      <x:c r="L216" s="78" t="n">
        <x:f>IFERROR(H216/G216,0)</x:f>
        <x:v>0.036610878661087864</x:v>
      </x:c>
      <x:c r="M216" s="76" t="n">
        <x:f>IFERROR(E216/H216,0)</x:f>
        <x:v>0.7431428571428571</x:v>
      </x:c>
      <x:c r="N216" s="80" t="n">
        <x:f>IFERROR(J216/E216,0)</x:f>
        <x:v>68.51851851851852</x:v>
      </x:c>
    </x:row>
    <x:row r="217">
      <x:c r="A217" s="38" t="n">
        <x:v>46141</x:v>
      </x:c>
      <x:c r="B217" t="str">
        <x:v>2026-04</x:v>
      </x:c>
      <x:c r="C217" t="str">
        <x:v>Email</x:v>
      </x:c>
      <x:c r="D217" t="str">
        <x:v>Launch</x:v>
      </x:c>
      <x:c r="E217" s="76" t="n">
        <x:v>30.39</x:v>
      </x:c>
      <x:c r="F217" s="88" t="n">
        <x:v>88449</x:v>
      </x:c>
      <x:c r="G217" s="88" t="n">
        <x:v>5360</x:v>
      </x:c>
      <x:c r="H217" s="88" t="n">
        <x:v>386</x:v>
      </x:c>
      <x:c r="I217" s="88" t="n">
        <x:v>48</x:v>
      </x:c>
      <x:c r="J217" s="76" t="n">
        <x:v>15842.72</x:v>
      </x:c>
      <x:c r="K217" s="78" t="n">
        <x:f>G217/F217</x:f>
        <x:v>0.060599893724066975</x:v>
      </x:c>
      <x:c r="L217" s="78" t="n">
        <x:f>IFERROR(H217/G217,0)</x:f>
        <x:v>0.07201492537313432</x:v>
      </x:c>
      <x:c r="M217" s="76" t="n">
        <x:f>IFERROR(E217/H217,0)</x:f>
        <x:v>0.07873056994818653</x:v>
      </x:c>
      <x:c r="N217" s="80" t="n">
        <x:f>IFERROR(J217/E217,0)</x:f>
        <x:v>521.3135899967094</x:v>
      </x:c>
    </x:row>
    <x:row r="218">
      <x:c r="A218" s="38" t="n">
        <x:v>46203</x:v>
      </x:c>
      <x:c r="B218" t="str">
        <x:v>2026-06</x:v>
      </x:c>
      <x:c r="C218" t="str">
        <x:v>Meta Ads</x:v>
      </x:c>
      <x:c r="D218" t="str">
        <x:v>Promo</x:v>
      </x:c>
      <x:c r="E218" s="76" t="n">
        <x:v>851.07</x:v>
      </x:c>
      <x:c r="F218" s="88" t="n">
        <x:v>40362</x:v>
      </x:c>
      <x:c r="G218" s="88" t="n">
        <x:v>1587</x:v>
      </x:c>
      <x:c r="H218" s="88" t="n">
        <x:v>198</x:v>
      </x:c>
      <x:c r="I218" s="88" t="n">
        <x:v>27</x:v>
      </x:c>
      <x:c r="J218" s="76" t="n">
        <x:v>7224.96</x:v>
      </x:c>
      <x:c r="K218" s="78" t="n">
        <x:f>G218/F218</x:f>
        <x:v>0.039319161587631934</x:v>
      </x:c>
      <x:c r="L218" s="78" t="n">
        <x:f>IFERROR(H218/G218,0)</x:f>
        <x:v>0.12476370510396975</x:v>
      </x:c>
      <x:c r="M218" s="76" t="n">
        <x:f>IFERROR(E218/H218,0)</x:f>
        <x:v>4.298333333333334</x:v>
      </x:c>
      <x:c r="N218" s="80" t="n">
        <x:f>IFERROR(J218/E218,0)</x:f>
        <x:v>8.489266452818217</x:v>
      </x:c>
    </x:row>
    <x:row r="219">
      <x:c r="A219" s="38" t="n">
        <x:v>46054</x:v>
      </x:c>
      <x:c r="B219" t="str">
        <x:v>2026-02</x:v>
      </x:c>
      <x:c r="C219" t="str">
        <x:v>Meta Ads</x:v>
      </x:c>
      <x:c r="D219" t="str">
        <x:v>Promo</x:v>
      </x:c>
      <x:c r="E219" s="76" t="n">
        <x:v>502.83</x:v>
      </x:c>
      <x:c r="F219" s="88" t="n">
        <x:v>51330</x:v>
      </x:c>
      <x:c r="G219" s="88" t="n">
        <x:v>485</x:v>
      </x:c>
      <x:c r="H219" s="88" t="n">
        <x:v>45</x:v>
      </x:c>
      <x:c r="I219" s="88" t="n">
        <x:v>5</x:v>
      </x:c>
      <x:c r="J219" s="76" t="n">
        <x:v>1790.57</x:v>
      </x:c>
      <x:c r="K219" s="78" t="n">
        <x:f>G219/F219</x:f>
        <x:v>0.009448665497759594</x:v>
      </x:c>
      <x:c r="L219" s="78" t="n">
        <x:f>IFERROR(H219/G219,0)</x:f>
        <x:v>0.09278350515463918</x:v>
      </x:c>
      <x:c r="M219" s="76" t="n">
        <x:f>IFERROR(E219/H219,0)</x:f>
        <x:v>11.174</x:v>
      </x:c>
      <x:c r="N219" s="80" t="n">
        <x:f>IFERROR(J219/E219,0)</x:f>
        <x:v>3.560984825885488</x:v>
      </x:c>
    </x:row>
    <x:row r="220">
      <x:c r="A220" s="38" t="n">
        <x:v>46122</x:v>
      </x:c>
      <x:c r="B220" t="str">
        <x:v>2026-04</x:v>
      </x:c>
      <x:c r="C220" t="str">
        <x:v>Email</x:v>
      </x:c>
      <x:c r="D220" t="str">
        <x:v>Brand</x:v>
      </x:c>
      <x:c r="E220" s="76" t="n">
        <x:v>99.41</x:v>
      </x:c>
      <x:c r="F220" s="88" t="n">
        <x:v>21483</x:v>
      </x:c>
      <x:c r="G220" s="88" t="n">
        <x:v>1444</x:v>
      </x:c>
      <x:c r="H220" s="88" t="n">
        <x:v>95</x:v>
      </x:c>
      <x:c r="I220" s="88" t="n">
        <x:v>21</x:v>
      </x:c>
      <x:c r="J220" s="76" t="n">
        <x:v>5629.57</x:v>
      </x:c>
      <x:c r="K220" s="78" t="n">
        <x:f>G220/F220</x:f>
        <x:v>0.06721593818368012</x:v>
      </x:c>
      <x:c r="L220" s="78" t="n">
        <x:f>IFERROR(H220/G220,0)</x:f>
        <x:v>0.06578947368421052</x:v>
      </x:c>
      <x:c r="M220" s="76" t="n">
        <x:f>IFERROR(E220/H220,0)</x:f>
        <x:v>1.046421052631579</x:v>
      </x:c>
      <x:c r="N220" s="80" t="n">
        <x:f>IFERROR(J220/E220,0)</x:f>
        <x:v>56.62981591389196</x:v>
      </x:c>
    </x:row>
    <x:row r="221">
      <x:c r="A221" s="38" t="n">
        <x:v>46149</x:v>
      </x:c>
      <x:c r="B221" t="str">
        <x:v>2026-05</x:v>
      </x:c>
      <x:c r="C221" t="str">
        <x:v>Google Ads</x:v>
      </x:c>
      <x:c r="D221" t="str">
        <x:v>Brand</x:v>
      </x:c>
      <x:c r="E221" s="76" t="n">
        <x:v>129.94</x:v>
      </x:c>
      <x:c r="F221" s="88" t="n">
        <x:v>5453</x:v>
      </x:c>
      <x:c r="G221" s="88" t="n">
        <x:v>34</x:v>
      </x:c>
      <x:c r="H221" s="88" t="n">
        <x:v>4</x:v>
      </x:c>
      <x:c r="I221" s="88" t="n">
        <x:v>0</x:v>
      </x:c>
      <x:c r="J221" s="76" t="n">
        <x:v>0</x:v>
      </x:c>
      <x:c r="K221" s="78" t="n">
        <x:f>G221/F221</x:f>
        <x:v>0.006235099944984412</x:v>
      </x:c>
      <x:c r="L221" s="78" t="n">
        <x:f>IFERROR(H221/G221,0)</x:f>
        <x:v>0.11764705882352941</x:v>
      </x:c>
      <x:c r="M221" s="76" t="n">
        <x:f>IFERROR(E221/H221,0)</x:f>
        <x:v>32.485</x:v>
      </x:c>
      <x:c r="N221" s="80" t="n">
        <x:f>IFERROR(J221/E221,0)</x:f>
        <x:v>0</x:v>
      </x:c>
    </x:row>
    <x:row r="222">
      <x:c r="A222" s="38" t="n">
        <x:v>46066</x:v>
      </x:c>
      <x:c r="B222" t="str">
        <x:v>2026-02</x:v>
      </x:c>
      <x:c r="C222" t="str">
        <x:v>Meta Ads</x:v>
      </x:c>
      <x:c r="D222" t="str">
        <x:v>Retargeting</x:v>
      </x:c>
      <x:c r="E222" s="76" t="n">
        <x:v>521.33</x:v>
      </x:c>
      <x:c r="F222" s="88" t="n">
        <x:v>37754</x:v>
      </x:c>
      <x:c r="G222" s="88" t="n">
        <x:v>1675</x:v>
      </x:c>
      <x:c r="H222" s="88" t="n">
        <x:v>186</x:v>
      </x:c>
      <x:c r="I222" s="88" t="n">
        <x:v>31</x:v>
      </x:c>
      <x:c r="J222" s="76" t="n">
        <x:v>8601.27</x:v>
      </x:c>
      <x:c r="K222" s="78" t="n">
        <x:f>G222/F222</x:f>
        <x:v>0.04436615987709912</x:v>
      </x:c>
      <x:c r="L222" s="78" t="n">
        <x:f>IFERROR(H222/G222,0)</x:f>
        <x:v>0.11104477611940299</x:v>
      </x:c>
      <x:c r="M222" s="76" t="n">
        <x:f>IFERROR(E222/H222,0)</x:f>
        <x:v>2.8028494623655917</x:v>
      </x:c>
      <x:c r="N222" s="80" t="n">
        <x:f>IFERROR(J222/E222,0)</x:f>
        <x:v>16.498705234688202</x:v>
      </x:c>
    </x:row>
    <x:row r="223">
      <x:c r="A223" s="38" t="n">
        <x:v>46100</x:v>
      </x:c>
      <x:c r="B223" t="str">
        <x:v>2026-03</x:v>
      </x:c>
      <x:c r="C223" t="str">
        <x:v>Email</x:v>
      </x:c>
      <x:c r="D223" t="str">
        <x:v>Seasonal</x:v>
      </x:c>
      <x:c r="E223" s="76" t="n">
        <x:v>112.34</x:v>
      </x:c>
      <x:c r="F223" s="88" t="n">
        <x:v>4946</x:v>
      </x:c>
      <x:c r="G223" s="88" t="n">
        <x:v>302</x:v>
      </x:c>
      <x:c r="H223" s="88" t="n">
        <x:v>20</x:v>
      </x:c>
      <x:c r="I223" s="88" t="n">
        <x:v>2</x:v>
      </x:c>
      <x:c r="J223" s="76" t="n">
        <x:v>445.43</x:v>
      </x:c>
      <x:c r="K223" s="78" t="n">
        <x:f>G223/F223</x:f>
        <x:v>0.06105944197331177</x:v>
      </x:c>
      <x:c r="L223" s="78" t="n">
        <x:f>IFERROR(H223/G223,0)</x:f>
        <x:v>0.06622516556291391</x:v>
      </x:c>
      <x:c r="M223" s="76" t="n">
        <x:f>IFERROR(E223/H223,0)</x:f>
        <x:v>5.617</x:v>
      </x:c>
      <x:c r="N223" s="80" t="n">
        <x:f>IFERROR(J223/E223,0)</x:f>
        <x:v>3.965016912942852</x:v>
      </x:c>
    </x:row>
    <x:row r="224">
      <x:c r="A224" s="38" t="n">
        <x:v>46146</x:v>
      </x:c>
      <x:c r="B224" t="str">
        <x:v>2026-05</x:v>
      </x:c>
      <x:c r="C224" t="str">
        <x:v>Google Ads</x:v>
      </x:c>
      <x:c r="D224" t="str">
        <x:v>Launch</x:v>
      </x:c>
      <x:c r="E224" s="76" t="n">
        <x:v>1057.13</x:v>
      </x:c>
      <x:c r="F224" s="88" t="n">
        <x:v>7338</x:v>
      </x:c>
      <x:c r="G224" s="88" t="n">
        <x:v>228</x:v>
      </x:c>
      <x:c r="H224" s="88" t="n">
        <x:v>21</x:v>
      </x:c>
      <x:c r="I224" s="88" t="n">
        <x:v>3</x:v>
      </x:c>
      <x:c r="J224" s="76" t="n">
        <x:v>908.11</x:v>
      </x:c>
      <x:c r="K224" s="78" t="n">
        <x:f>G224/F224</x:f>
        <x:v>0.03107113654946852</x:v>
      </x:c>
      <x:c r="L224" s="78" t="n">
        <x:f>IFERROR(H224/G224,0)</x:f>
        <x:v>0.09210526315789473</x:v>
      </x:c>
      <x:c r="M224" s="76" t="n">
        <x:f>IFERROR(E224/H224,0)</x:f>
        <x:v>50.33952380952381</x:v>
      </x:c>
      <x:c r="N224" s="80" t="n">
        <x:f>IFERROR(J224/E224,0)</x:f>
        <x:v>0.8590334206767379</x:v>
      </x:c>
    </x:row>
    <x:row r="225">
      <x:c r="A225" s="38" t="n">
        <x:v>46131</x:v>
      </x:c>
      <x:c r="B225" t="str">
        <x:v>2026-04</x:v>
      </x:c>
      <x:c r="C225" t="str">
        <x:v>Google Ads</x:v>
      </x:c>
      <x:c r="D225" t="str">
        <x:v>Seasonal</x:v>
      </x:c>
      <x:c r="E225" s="76" t="n">
        <x:v>886.93</x:v>
      </x:c>
      <x:c r="F225" s="88" t="n">
        <x:v>79050</x:v>
      </x:c>
      <x:c r="G225" s="88" t="n">
        <x:v>1092</x:v>
      </x:c>
      <x:c r="H225" s="88" t="n">
        <x:v>82</x:v>
      </x:c>
      <x:c r="I225" s="88" t="n">
        <x:v>12</x:v>
      </x:c>
      <x:c r="J225" s="76" t="n">
        <x:v>5016.96</x:v>
      </x:c>
      <x:c r="K225" s="78" t="n">
        <x:f>G225/F225</x:f>
        <x:v>0.013814041745730551</x:v>
      </x:c>
      <x:c r="L225" s="78" t="n">
        <x:f>IFERROR(H225/G225,0)</x:f>
        <x:v>0.07509157509157509</x:v>
      </x:c>
      <x:c r="M225" s="76" t="n">
        <x:f>IFERROR(E225/H225,0)</x:f>
        <x:v>10.816219512195122</x:v>
      </x:c>
      <x:c r="N225" s="80" t="n">
        <x:f>IFERROR(J225/E225,0)</x:f>
        <x:v>5.656545612393312</x:v>
      </x:c>
    </x:row>
    <x:row r="226">
      <x:c r="A226" s="38" t="n">
        <x:v>46103</x:v>
      </x:c>
      <x:c r="B226" t="str">
        <x:v>2026-03</x:v>
      </x:c>
      <x:c r="C226" t="str">
        <x:v>Google Ads</x:v>
      </x:c>
      <x:c r="D226" t="str">
        <x:v>Promo</x:v>
      </x:c>
      <x:c r="E226" s="76" t="n">
        <x:v>649.55</x:v>
      </x:c>
      <x:c r="F226" s="88" t="n">
        <x:v>79261</x:v>
      </x:c>
      <x:c r="G226" s="88" t="n">
        <x:v>3766</x:v>
      </x:c>
      <x:c r="H226" s="88" t="n">
        <x:v>112</x:v>
      </x:c>
      <x:c r="I226" s="88" t="n">
        <x:v>35</x:v>
      </x:c>
      <x:c r="J226" s="76" t="n">
        <x:v>2812.73</x:v>
      </x:c>
      <x:c r="K226" s="78" t="n">
        <x:f>G226/F226</x:f>
        <x:v>0.04751390974123466</x:v>
      </x:c>
      <x:c r="L226" s="78" t="n">
        <x:f>IFERROR(H226/G226,0)</x:f>
        <x:v>0.02973977695167286</x:v>
      </x:c>
      <x:c r="M226" s="76" t="n">
        <x:f>IFERROR(E226/H226,0)</x:f>
        <x:v>5.799553571428571</x:v>
      </x:c>
      <x:c r="N226" s="80" t="n">
        <x:f>IFERROR(J226/E226,0)</x:f>
        <x:v>4.33027480563467</x:v>
      </x:c>
    </x:row>
    <x:row r="227">
      <x:c r="A227" s="38" t="n">
        <x:v>46158</x:v>
      </x:c>
      <x:c r="B227" t="str">
        <x:v>2026-05</x:v>
      </x:c>
      <x:c r="C227" t="str">
        <x:v>Google Ads</x:v>
      </x:c>
      <x:c r="D227" t="str">
        <x:v>Lead Magnet</x:v>
      </x:c>
      <x:c r="E227" s="76" t="n">
        <x:v>539.58</x:v>
      </x:c>
      <x:c r="F227" s="88" t="n">
        <x:v>9438</x:v>
      </x:c>
      <x:c r="G227" s="88" t="n">
        <x:v>501</x:v>
      </x:c>
      <x:c r="H227" s="88" t="n">
        <x:v>76</x:v>
      </x:c>
      <x:c r="I227" s="88" t="n">
        <x:v>9</x:v>
      </x:c>
      <x:c r="J227" s="76" t="n">
        <x:v>3055.35</x:v>
      </x:c>
      <x:c r="K227" s="78" t="n">
        <x:f>G227/F227</x:f>
        <x:v>0.05308328035600763</x:v>
      </x:c>
      <x:c r="L227" s="78" t="n">
        <x:f>IFERROR(H227/G227,0)</x:f>
        <x:v>0.15169660678642716</x:v>
      </x:c>
      <x:c r="M227" s="76" t="n">
        <x:f>IFERROR(E227/H227,0)</x:f>
        <x:v>7.099736842105264</x:v>
      </x:c>
      <x:c r="N227" s="80" t="n">
        <x:f>IFERROR(J227/E227,0)</x:f>
        <x:v>5.662459690870676</x:v>
      </x:c>
    </x:row>
    <x:row r="228">
      <x:c r="A228" s="38" t="n">
        <x:v>46119</x:v>
      </x:c>
      <x:c r="B228" t="str">
        <x:v>2026-04</x:v>
      </x:c>
      <x:c r="C228" t="str">
        <x:v>Organic Search</x:v>
      </x:c>
      <x:c r="D228" t="str">
        <x:v>Seasonal</x:v>
      </x:c>
      <x:c r="E228" s="76" t="n">
        <x:v>145.39</x:v>
      </x:c>
      <x:c r="F228" s="88" t="n">
        <x:v>3747</x:v>
      </x:c>
      <x:c r="G228" s="88" t="n">
        <x:v>227</x:v>
      </x:c>
      <x:c r="H228" s="88" t="n">
        <x:v>23</x:v>
      </x:c>
      <x:c r="I228" s="88" t="n">
        <x:v>4</x:v>
      </x:c>
      <x:c r="J228" s="76" t="n">
        <x:v>495.4</x:v>
      </x:c>
      <x:c r="K228" s="78" t="n">
        <x:f>G228/F228</x:f>
        <x:v>0.06058179877235122</x:v>
      </x:c>
      <x:c r="L228" s="78" t="n">
        <x:f>IFERROR(H228/G228,0)</x:f>
        <x:v>0.1013215859030837</x:v>
      </x:c>
      <x:c r="M228" s="76" t="n">
        <x:f>IFERROR(E228/H228,0)</x:f>
        <x:v>6.321304347826087</x:v>
      </x:c>
      <x:c r="N228" s="80" t="n">
        <x:f>IFERROR(J228/E228,0)</x:f>
        <x:v>3.407387027993672</x:v>
      </x:c>
    </x:row>
    <x:row r="229">
      <x:c r="A229" s="38" t="n">
        <x:v>46103</x:v>
      </x:c>
      <x:c r="B229" t="str">
        <x:v>2026-03</x:v>
      </x:c>
      <x:c r="C229" t="str">
        <x:v>Meta Ads</x:v>
      </x:c>
      <x:c r="D229" t="str">
        <x:v>Launch</x:v>
      </x:c>
      <x:c r="E229" s="76" t="n">
        <x:v>987.95</x:v>
      </x:c>
      <x:c r="F229" s="88" t="n">
        <x:v>80385</x:v>
      </x:c>
      <x:c r="G229" s="88" t="n">
        <x:v>1573</x:v>
      </x:c>
      <x:c r="H229" s="88" t="n">
        <x:v>61</x:v>
      </x:c>
      <x:c r="I229" s="88" t="n">
        <x:v>10</x:v>
      </x:c>
      <x:c r="J229" s="76" t="n">
        <x:v>3820.32</x:v>
      </x:c>
      <x:c r="K229" s="78" t="n">
        <x:f>G229/F229</x:f>
        <x:v>0.0195683274242707</x:v>
      </x:c>
      <x:c r="L229" s="78" t="n">
        <x:f>IFERROR(H229/G229,0)</x:f>
        <x:v>0.03877940241576605</x:v>
      </x:c>
      <x:c r="M229" s="76" t="n">
        <x:f>IFERROR(E229/H229,0)</x:f>
        <x:v>16.195901639344264</x:v>
      </x:c>
      <x:c r="N229" s="80" t="n">
        <x:f>IFERROR(J229/E229,0)</x:f>
        <x:v>3.866916341920138</x:v>
      </x:c>
    </x:row>
    <x:row r="230">
      <x:c r="A230" s="38" t="n">
        <x:v>46040</x:v>
      </x:c>
      <x:c r="B230" t="str">
        <x:v>2026-01</x:v>
      </x:c>
      <x:c r="C230" t="str">
        <x:v>Google Ads</x:v>
      </x:c>
      <x:c r="D230" t="str">
        <x:v>Promo</x:v>
      </x:c>
      <x:c r="E230" s="76" t="n">
        <x:v>691.27</x:v>
      </x:c>
      <x:c r="F230" s="88" t="n">
        <x:v>64548</x:v>
      </x:c>
      <x:c r="G230" s="88" t="n">
        <x:v>1547</x:v>
      </x:c>
      <x:c r="H230" s="88" t="n">
        <x:v>124</x:v>
      </x:c>
      <x:c r="I230" s="88" t="n">
        <x:v>33</x:v>
      </x:c>
      <x:c r="J230" s="76" t="n">
        <x:v>9789.85</x:v>
      </x:c>
      <x:c r="K230" s="78" t="n">
        <x:f>G230/F230</x:f>
        <x:v>0.023966660469727955</x:v>
      </x:c>
      <x:c r="L230" s="78" t="n">
        <x:f>IFERROR(H230/G230,0)</x:f>
        <x:v>0.0801551389786684</x:v>
      </x:c>
      <x:c r="M230" s="76" t="n">
        <x:f>IFERROR(E230/H230,0)</x:f>
        <x:v>5.5747580645161285</x:v>
      </x:c>
      <x:c r="N230" s="80" t="n">
        <x:f>IFERROR(J230/E230,0)</x:f>
        <x:v>14.162121891590841</x:v>
      </x:c>
    </x:row>
    <x:row r="231">
      <x:c r="A231" s="38" t="n">
        <x:v>46112</x:v>
      </x:c>
      <x:c r="B231" t="str">
        <x:v>2026-03</x:v>
      </x:c>
      <x:c r="C231" t="str">
        <x:v>Meta Ads</x:v>
      </x:c>
      <x:c r="D231" t="str">
        <x:v>Retargeting</x:v>
      </x:c>
      <x:c r="E231" s="76" t="n">
        <x:v>388.78</x:v>
      </x:c>
      <x:c r="F231" s="88" t="n">
        <x:v>66888</x:v>
      </x:c>
      <x:c r="G231" s="88" t="n">
        <x:v>2797</x:v>
      </x:c>
      <x:c r="H231" s="88" t="n">
        <x:v>57</x:v>
      </x:c>
      <x:c r="I231" s="88" t="n">
        <x:v>13</x:v>
      </x:c>
      <x:c r="J231" s="76" t="n">
        <x:v>838.09</x:v>
      </x:c>
      <x:c r="K231" s="78" t="n">
        <x:f>G231/F231</x:f>
        <x:v>0.04181617031455567</x:v>
      </x:c>
      <x:c r="L231" s="78" t="n">
        <x:f>IFERROR(H231/G231,0)</x:f>
        <x:v>0.020378977475867</x:v>
      </x:c>
      <x:c r="M231" s="76" t="n">
        <x:f>IFERROR(E231/H231,0)</x:f>
        <x:v>6.820701754385964</x:v>
      </x:c>
      <x:c r="N231" s="80" t="n">
        <x:f>IFERROR(J231/E231,0)</x:f>
        <x:v>2.1556921652348375</x:v>
      </x:c>
    </x:row>
    <x:row r="232">
      <x:c r="A232" s="38" t="n">
        <x:v>46125</x:v>
      </x:c>
      <x:c r="B232" t="str">
        <x:v>2026-04</x:v>
      </x:c>
      <x:c r="C232" t="str">
        <x:v>Organic Search</x:v>
      </x:c>
      <x:c r="D232" t="str">
        <x:v>Lead Magnet</x:v>
      </x:c>
      <x:c r="E232" s="76" t="n">
        <x:v>164.68</x:v>
      </x:c>
      <x:c r="F232" s="88" t="n">
        <x:v>73919</x:v>
      </x:c>
      <x:c r="G232" s="88" t="n">
        <x:v>2411</x:v>
      </x:c>
      <x:c r="H232" s="88" t="n">
        <x:v>191</x:v>
      </x:c>
      <x:c r="I232" s="88" t="n">
        <x:v>17</x:v>
      </x:c>
      <x:c r="J232" s="76" t="n">
        <x:v>6238.9</x:v>
      </x:c>
      <x:c r="K232" s="78" t="n">
        <x:f>G232/F232</x:f>
        <x:v>0.032616783235703946</x:v>
      </x:c>
      <x:c r="L232" s="78" t="n">
        <x:f>IFERROR(H232/G232,0)</x:f>
        <x:v>0.07922024056408129</x:v>
      </x:c>
      <x:c r="M232" s="76" t="n">
        <x:f>IFERROR(E232/H232,0)</x:f>
        <x:v>0.8621989528795811</x:v>
      </x:c>
      <x:c r="N232" s="80" t="n">
        <x:f>IFERROR(J232/E232,0)</x:f>
        <x:v>37.88498906971095</x:v>
      </x:c>
    </x:row>
    <x:row r="233">
      <x:c r="A233" s="38" t="n">
        <x:v>46075</x:v>
      </x:c>
      <x:c r="B233" t="str">
        <x:v>2026-02</x:v>
      </x:c>
      <x:c r="C233" t="str">
        <x:v>Google Ads</x:v>
      </x:c>
      <x:c r="D233" t="str">
        <x:v>Seasonal</x:v>
      </x:c>
      <x:c r="E233" s="76" t="n">
        <x:v>157.25</x:v>
      </x:c>
      <x:c r="F233" s="88" t="n">
        <x:v>38102</x:v>
      </x:c>
      <x:c r="G233" s="88" t="n">
        <x:v>604</x:v>
      </x:c>
      <x:c r="H233" s="88" t="n">
        <x:v>30</x:v>
      </x:c>
      <x:c r="I233" s="88" t="n">
        <x:v>9</x:v>
      </x:c>
      <x:c r="J233" s="76" t="n">
        <x:v>1915.76</x:v>
      </x:c>
      <x:c r="K233" s="78" t="n">
        <x:f>G233/F233</x:f>
        <x:v>0.01585218623694294</x:v>
      </x:c>
      <x:c r="L233" s="78" t="n">
        <x:f>IFERROR(H233/G233,0)</x:f>
        <x:v>0.04966887417218543</x:v>
      </x:c>
      <x:c r="M233" s="76" t="n">
        <x:f>IFERROR(E233/H233,0)</x:f>
        <x:v>5.241666666666666</x:v>
      </x:c>
      <x:c r="N233" s="80" t="n">
        <x:f>IFERROR(J233/E233,0)</x:f>
        <x:v>12.182893481717011</x:v>
      </x:c>
    </x:row>
    <x:row r="234">
      <x:c r="A234" s="38" t="n">
        <x:v>46112</x:v>
      </x:c>
      <x:c r="B234" t="str">
        <x:v>2026-03</x:v>
      </x:c>
      <x:c r="C234" t="str">
        <x:v>Google Ads</x:v>
      </x:c>
      <x:c r="D234" t="str">
        <x:v>Launch</x:v>
      </x:c>
      <x:c r="E234" s="76" t="n">
        <x:v>257.53</x:v>
      </x:c>
      <x:c r="F234" s="88" t="n">
        <x:v>41051</x:v>
      </x:c>
      <x:c r="G234" s="88" t="n">
        <x:v>1419</x:v>
      </x:c>
      <x:c r="H234" s="88" t="n">
        <x:v>234</x:v>
      </x:c>
      <x:c r="I234" s="88" t="n">
        <x:v>35</x:v>
      </x:c>
      <x:c r="J234" s="76" t="n">
        <x:v>9154.96</x:v>
      </x:c>
      <x:c r="K234" s="78" t="n">
        <x:f>G234/F234</x:f>
        <x:v>0.034566758422450126</x:v>
      </x:c>
      <x:c r="L234" s="78" t="n">
        <x:f>IFERROR(H234/G234,0)</x:f>
        <x:v>0.1649048625792812</x:v>
      </x:c>
      <x:c r="M234" s="76" t="n">
        <x:f>IFERROR(E234/H234,0)</x:f>
        <x:v>1.1005555555555555</x:v>
      </x:c>
      <x:c r="N234" s="80" t="n">
        <x:f>IFERROR(J234/E234,0)</x:f>
        <x:v>35.54910107560284</x:v>
      </x:c>
    </x:row>
    <x:row r="235">
      <x:c r="A235" s="38" t="n">
        <x:v>46046</x:v>
      </x:c>
      <x:c r="B235" t="str">
        <x:v>2026-01</x:v>
      </x:c>
      <x:c r="C235" t="str">
        <x:v>Organic Search</x:v>
      </x:c>
      <x:c r="D235" t="str">
        <x:v>Promo</x:v>
      </x:c>
      <x:c r="E235" s="76" t="n">
        <x:v>73.43</x:v>
      </x:c>
      <x:c r="F235" s="88" t="n">
        <x:v>47158</x:v>
      </x:c>
      <x:c r="G235" s="88" t="n">
        <x:v>1638</x:v>
      </x:c>
      <x:c r="H235" s="88" t="n">
        <x:v>278</x:v>
      </x:c>
      <x:c r="I235" s="88" t="n">
        <x:v>63</x:v>
      </x:c>
      <x:c r="J235" s="76" t="n">
        <x:v>9336.81</x:v>
      </x:c>
      <x:c r="K235" s="78" t="n">
        <x:f>G235/F235</x:f>
        <x:v>0.03473429746808601</x:v>
      </x:c>
      <x:c r="L235" s="78" t="n">
        <x:f>IFERROR(H235/G235,0)</x:f>
        <x:v>0.16971916971916973</x:v>
      </x:c>
      <x:c r="M235" s="76" t="n">
        <x:f>IFERROR(E235/H235,0)</x:f>
        <x:v>0.264136690647482</x:v>
      </x:c>
      <x:c r="N235" s="80" t="n">
        <x:f>IFERROR(J235/E235,0)</x:f>
        <x:v>127.15252621544326</x:v>
      </x:c>
    </x:row>
    <x:row r="236">
      <x:c r="A236" s="38" t="n">
        <x:v>46151</x:v>
      </x:c>
      <x:c r="B236" t="str">
        <x:v>2026-05</x:v>
      </x:c>
      <x:c r="C236" t="str">
        <x:v>Email</x:v>
      </x:c>
      <x:c r="D236" t="str">
        <x:v>Retargeting</x:v>
      </x:c>
      <x:c r="E236" s="76" t="n">
        <x:v>41.58</x:v>
      </x:c>
      <x:c r="F236" s="88" t="n">
        <x:v>63809</x:v>
      </x:c>
      <x:c r="G236" s="88" t="n">
        <x:v>1176</x:v>
      </x:c>
      <x:c r="H236" s="88" t="n">
        <x:v>115</x:v>
      </x:c>
      <x:c r="I236" s="88" t="n">
        <x:v>29</x:v>
      </x:c>
      <x:c r="J236" s="76" t="n">
        <x:v>1852.95</x:v>
      </x:c>
      <x:c r="K236" s="78" t="n">
        <x:f>G236/F236</x:f>
        <x:v>0.018430002037330157</x:v>
      </x:c>
      <x:c r="L236" s="78" t="n">
        <x:f>IFERROR(H236/G236,0)</x:f>
        <x:v>0.0977891156462585</x:v>
      </x:c>
      <x:c r="M236" s="76" t="n">
        <x:f>IFERROR(E236/H236,0)</x:f>
        <x:v>0.3615652173913043</x:v>
      </x:c>
      <x:c r="N236" s="80" t="n">
        <x:f>IFERROR(J236/E236,0)</x:f>
        <x:v>44.56349206349206</x:v>
      </x:c>
    </x:row>
    <x:row r="237">
      <x:c r="A237" s="38" t="n">
        <x:v>46083</x:v>
      </x:c>
      <x:c r="B237" t="str">
        <x:v>2026-03</x:v>
      </x:c>
      <x:c r="C237" t="str">
        <x:v>Google Ads</x:v>
      </x:c>
      <x:c r="D237" t="str">
        <x:v>Lead Magnet</x:v>
      </x:c>
      <x:c r="E237" s="76" t="n">
        <x:v>254.83</x:v>
      </x:c>
      <x:c r="F237" s="88" t="n">
        <x:v>49641</x:v>
      </x:c>
      <x:c r="G237" s="88" t="n">
        <x:v>1664</x:v>
      </x:c>
      <x:c r="H237" s="88" t="n">
        <x:v>218</x:v>
      </x:c>
      <x:c r="I237" s="88" t="n">
        <x:v>25</x:v>
      </x:c>
      <x:c r="J237" s="76" t="n">
        <x:v>11241.38</x:v>
      </x:c>
      <x:c r="K237" s="78" t="n">
        <x:f>G237/F237</x:f>
        <x:v>0.03352067847142483</x:v>
      </x:c>
      <x:c r="L237" s="78" t="n">
        <x:f>IFERROR(H237/G237,0)</x:f>
        <x:v>0.1310096153846154</x:v>
      </x:c>
      <x:c r="M237" s="76" t="n">
        <x:f>IFERROR(E237/H237,0)</x:f>
        <x:v>1.1689449541284405</x:v>
      </x:c>
      <x:c r="N237" s="80" t="n">
        <x:f>IFERROR(J237/E237,0)</x:f>
        <x:v>44.113251971902834</x:v>
      </x:c>
    </x:row>
    <x:row r="238">
      <x:c r="A238" s="38" t="n">
        <x:v>46144</x:v>
      </x:c>
      <x:c r="B238" t="str">
        <x:v>2026-05</x:v>
      </x:c>
      <x:c r="C238" t="str">
        <x:v>Meta Ads</x:v>
      </x:c>
      <x:c r="D238" t="str">
        <x:v>Seasonal</x:v>
      </x:c>
      <x:c r="E238" s="76" t="n">
        <x:v>477.32</x:v>
      </x:c>
      <x:c r="F238" s="88" t="n">
        <x:v>45968</x:v>
      </x:c>
      <x:c r="G238" s="88" t="n">
        <x:v>1534</x:v>
      </x:c>
      <x:c r="H238" s="88" t="n">
        <x:v>249</x:v>
      </x:c>
      <x:c r="I238" s="88" t="n">
        <x:v>70</x:v>
      </x:c>
      <x:c r="J238" s="76" t="n">
        <x:v>4469.76</x:v>
      </x:c>
      <x:c r="K238" s="78" t="n">
        <x:f>G238/F238</x:f>
        <x:v>0.0333710407239819</x:v>
      </x:c>
      <x:c r="L238" s="78" t="n">
        <x:f>IFERROR(H238/G238,0)</x:f>
        <x:v>0.1623207301173403</x:v>
      </x:c>
      <x:c r="M238" s="76" t="n">
        <x:f>IFERROR(E238/H238,0)</x:f>
        <x:v>1.9169477911646586</x:v>
      </x:c>
      <x:c r="N238" s="80" t="n">
        <x:f>IFERROR(J238/E238,0)</x:f>
        <x:v>9.364283918545212</x:v>
      </x:c>
    </x:row>
    <x:row r="239">
      <x:c r="A239" s="38" t="n">
        <x:v>46124</x:v>
      </x:c>
      <x:c r="B239" t="str">
        <x:v>2026-04</x:v>
      </x:c>
      <x:c r="C239" t="str">
        <x:v>Meta Ads</x:v>
      </x:c>
      <x:c r="D239" t="str">
        <x:v>Lead Magnet</x:v>
      </x:c>
      <x:c r="E239" s="76" t="n">
        <x:v>663.39</x:v>
      </x:c>
      <x:c r="F239" s="88" t="n">
        <x:v>66161</x:v>
      </x:c>
      <x:c r="G239" s="88" t="n">
        <x:v>4490</x:v>
      </x:c>
      <x:c r="H239" s="88" t="n">
        <x:v>258</x:v>
      </x:c>
      <x:c r="I239" s="88" t="n">
        <x:v>20</x:v>
      </x:c>
      <x:c r="J239" s="76" t="n">
        <x:v>5781.81</x:v>
      </x:c>
      <x:c r="K239" s="78" t="n">
        <x:f>G239/F239</x:f>
        <x:v>0.06786475416030592</x:v>
      </x:c>
      <x:c r="L239" s="78" t="n">
        <x:f>IFERROR(H239/G239,0)</x:f>
        <x:v>0.05746102449888642</x:v>
      </x:c>
      <x:c r="M239" s="76" t="n">
        <x:f>IFERROR(E239/H239,0)</x:f>
        <x:v>2.5712790697674417</x:v>
      </x:c>
      <x:c r="N239" s="80" t="n">
        <x:f>IFERROR(J239/E239,0)</x:f>
        <x:v>8.71555193777416</x:v>
      </x:c>
    </x:row>
    <x:row r="240">
      <x:c r="A240" s="38" t="n">
        <x:v>46183</x:v>
      </x:c>
      <x:c r="B240" t="str">
        <x:v>2026-06</x:v>
      </x:c>
      <x:c r="C240" t="str">
        <x:v>Meta Ads</x:v>
      </x:c>
      <x:c r="D240" t="str">
        <x:v>Brand</x:v>
      </x:c>
      <x:c r="E240" s="76" t="n">
        <x:v>376.83</x:v>
      </x:c>
      <x:c r="F240" s="88" t="n">
        <x:v>47340</x:v>
      </x:c>
      <x:c r="G240" s="88" t="n">
        <x:v>2355</x:v>
      </x:c>
      <x:c r="H240" s="88" t="n">
        <x:v>419</x:v>
      </x:c>
      <x:c r="I240" s="88" t="n">
        <x:v>77</x:v>
      </x:c>
      <x:c r="J240" s="76" t="n">
        <x:v>7035.55</x:v>
      </x:c>
      <x:c r="K240" s="78" t="n">
        <x:f>G240/F240</x:f>
        <x:v>0.04974651457541191</x:v>
      </x:c>
      <x:c r="L240" s="78" t="n">
        <x:f>IFERROR(H240/G240,0)</x:f>
        <x:v>0.17791932059447982</x:v>
      </x:c>
      <x:c r="M240" s="76" t="n">
        <x:f>IFERROR(E240/H240,0)</x:f>
        <x:v>0.8993556085918855</x:v>
      </x:c>
      <x:c r="N240" s="80" t="n">
        <x:f>IFERROR(J240/E240,0)</x:f>
        <x:v>18.670355332643368</x:v>
      </x:c>
    </x:row>
    <x:row r="241">
      <x:c r="A241" s="38" t="n">
        <x:v>46067</x:v>
      </x:c>
      <x:c r="B241" t="str">
        <x:v>2026-02</x:v>
      </x:c>
      <x:c r="C241" t="str">
        <x:v>Email</x:v>
      </x:c>
      <x:c r="D241" t="str">
        <x:v>Retargeting</x:v>
      </x:c>
      <x:c r="E241" s="76" t="n">
        <x:v>106.05</x:v>
      </x:c>
      <x:c r="F241" s="88" t="n">
        <x:v>77529</x:v>
      </x:c>
      <x:c r="G241" s="88" t="n">
        <x:v>5304</x:v>
      </x:c>
      <x:c r="H241" s="88" t="n">
        <x:v>189</x:v>
      </x:c>
      <x:c r="I241" s="88" t="n">
        <x:v>22</x:v>
      </x:c>
      <x:c r="J241" s="76" t="n">
        <x:v>9091.49</x:v>
      </x:c>
      <x:c r="K241" s="78" t="n">
        <x:f>G241/F241</x:f>
        <x:v>0.06841310993305731</x:v>
      </x:c>
      <x:c r="L241" s="78" t="n">
        <x:f>IFERROR(H241/G241,0)</x:f>
        <x:v>0.035633484162895926</x:v>
      </x:c>
      <x:c r="M241" s="76" t="n">
        <x:f>IFERROR(E241/H241,0)</x:f>
        <x:v>0.5611111111111111</x:v>
      </x:c>
      <x:c r="N241" s="80" t="n">
        <x:f>IFERROR(J241/E241,0)</x:f>
        <x:v>85.72833569071193</x:v>
      </x:c>
    </x:row>
    <x:row r="242">
      <x:c r="A242" s="38" t="n">
        <x:v>46147</x:v>
      </x:c>
      <x:c r="B242" t="str">
        <x:v>2026-05</x:v>
      </x:c>
      <x:c r="C242" t="str">
        <x:v>Organic Search</x:v>
      </x:c>
      <x:c r="D242" t="str">
        <x:v>Lead Magnet</x:v>
      </x:c>
      <x:c r="E242" s="76" t="n">
        <x:v>13.17</x:v>
      </x:c>
      <x:c r="F242" s="88" t="n">
        <x:v>3636</x:v>
      </x:c>
      <x:c r="G242" s="88" t="n">
        <x:v>151</x:v>
      </x:c>
      <x:c r="H242" s="88" t="n">
        <x:v>21</x:v>
      </x:c>
      <x:c r="I242" s="88" t="n">
        <x:v>5</x:v>
      </x:c>
      <x:c r="J242" s="76" t="n">
        <x:v>683.43</x:v>
      </x:c>
      <x:c r="K242" s="78" t="n">
        <x:f>G242/F242</x:f>
        <x:v>0.04152915291529153</x:v>
      </x:c>
      <x:c r="L242" s="78" t="n">
        <x:f>IFERROR(H242/G242,0)</x:f>
        <x:v>0.1390728476821192</x:v>
      </x:c>
      <x:c r="M242" s="76" t="n">
        <x:f>IFERROR(E242/H242,0)</x:f>
        <x:v>0.6271428571428571</x:v>
      </x:c>
      <x:c r="N242" s="80" t="n">
        <x:f>IFERROR(J242/E242,0)</x:f>
        <x:v>51.89293849658314</x:v>
      </x:c>
    </x:row>
    <x:row r="243">
      <x:c r="A243" s="38" t="n">
        <x:v>46112</x:v>
      </x:c>
      <x:c r="B243" t="str">
        <x:v>2026-03</x:v>
      </x:c>
      <x:c r="C243" t="str">
        <x:v>TikTok Ads</x:v>
      </x:c>
      <x:c r="D243" t="str">
        <x:v>Retargeting</x:v>
      </x:c>
      <x:c r="E243" s="76" t="n">
        <x:v>263.2</x:v>
      </x:c>
      <x:c r="F243" s="88" t="n">
        <x:v>22591</x:v>
      </x:c>
      <x:c r="G243" s="88" t="n">
        <x:v>575</x:v>
      </x:c>
      <x:c r="H243" s="88" t="n">
        <x:v>88</x:v>
      </x:c>
      <x:c r="I243" s="88" t="n">
        <x:v>25</x:v>
      </x:c>
      <x:c r="J243" s="76" t="n">
        <x:v>9504.19</x:v>
      </x:c>
      <x:c r="K243" s="78" t="n">
        <x:f>G243/F243</x:f>
        <x:v>0.025452613872781197</x:v>
      </x:c>
      <x:c r="L243" s="78" t="n">
        <x:f>IFERROR(H243/G243,0)</x:f>
        <x:v>0.15304347826086956</x:v>
      </x:c>
      <x:c r="M243" s="76" t="n">
        <x:f>IFERROR(E243/H243,0)</x:f>
        <x:v>2.9909090909090907</x:v>
      </x:c>
      <x:c r="N243" s="80" t="n">
        <x:f>IFERROR(J243/E243,0)</x:f>
        <x:v>36.1101443768997</x:v>
      </x:c>
    </x:row>
    <x:row r="244">
      <x:c r="A244" s="38" t="n">
        <x:v>46149</x:v>
      </x:c>
      <x:c r="B244" t="str">
        <x:v>2026-05</x:v>
      </x:c>
      <x:c r="C244" t="str">
        <x:v>TikTok Ads</x:v>
      </x:c>
      <x:c r="D244" t="str">
        <x:v>Retargeting</x:v>
      </x:c>
      <x:c r="E244" s="76" t="n">
        <x:v>1005.62</x:v>
      </x:c>
      <x:c r="F244" s="88" t="n">
        <x:v>44352</x:v>
      </x:c>
      <x:c r="G244" s="88" t="n">
        <x:v>1477</x:v>
      </x:c>
      <x:c r="H244" s="88" t="n">
        <x:v>188</x:v>
      </x:c>
      <x:c r="I244" s="88" t="n">
        <x:v>16</x:v>
      </x:c>
      <x:c r="J244" s="76" t="n">
        <x:v>3069.91</x:v>
      </x:c>
      <x:c r="K244" s="78" t="n">
        <x:f>G244/F244</x:f>
        <x:v>0.03330176767676768</x:v>
      </x:c>
      <x:c r="L244" s="78" t="n">
        <x:f>IFERROR(H244/G244,0)</x:f>
        <x:v>0.12728503723764387</x:v>
      </x:c>
      <x:c r="M244" s="76" t="n">
        <x:f>IFERROR(E244/H244,0)</x:f>
        <x:v>5.34904255319149</x:v>
      </x:c>
      <x:c r="N244" s="80" t="n">
        <x:f>IFERROR(J244/E244,0)</x:f>
        <x:v>3.052753525188441</x:v>
      </x:c>
    </x:row>
    <x:row r="245">
      <x:c r="A245" s="38" t="n">
        <x:v>46160</x:v>
      </x:c>
      <x:c r="B245" t="str">
        <x:v>2026-05</x:v>
      </x:c>
      <x:c r="C245" t="str">
        <x:v>Influencers</x:v>
      </x:c>
      <x:c r="D245" t="str">
        <x:v>Retargeting</x:v>
      </x:c>
      <x:c r="E245" s="76" t="n">
        <x:v>1142.66</x:v>
      </x:c>
      <x:c r="F245" s="88" t="n">
        <x:v>4809</x:v>
      </x:c>
      <x:c r="G245" s="88" t="n">
        <x:v>202</x:v>
      </x:c>
      <x:c r="H245" s="88" t="n">
        <x:v>15</x:v>
      </x:c>
      <x:c r="I245" s="88" t="n">
        <x:v>4</x:v>
      </x:c>
      <x:c r="J245" s="76" t="n">
        <x:v>1097.46</x:v>
      </x:c>
      <x:c r="K245" s="78" t="n">
        <x:f>G245/F245</x:f>
        <x:v>0.042004574755666456</x:v>
      </x:c>
      <x:c r="L245" s="78" t="n">
        <x:f>IFERROR(H245/G245,0)</x:f>
        <x:v>0.07425742574257425</x:v>
      </x:c>
      <x:c r="M245" s="76" t="n">
        <x:f>IFERROR(E245/H245,0)</x:f>
        <x:v>76.17733333333334</x:v>
      </x:c>
      <x:c r="N245" s="80" t="n">
        <x:f>IFERROR(J245/E245,0)</x:f>
        <x:v>0.9604431764479372</x:v>
      </x:c>
    </x:row>
    <x:row r="246">
      <x:c r="A246" s="38" t="n">
        <x:v>46069</x:v>
      </x:c>
      <x:c r="B246" t="str">
        <x:v>2026-02</x:v>
      </x:c>
      <x:c r="C246" t="str">
        <x:v>Influencers</x:v>
      </x:c>
      <x:c r="D246" t="str">
        <x:v>Launch</x:v>
      </x:c>
      <x:c r="E246" s="76" t="n">
        <x:v>445.47</x:v>
      </x:c>
      <x:c r="F246" s="88" t="n">
        <x:v>39325</x:v>
      </x:c>
      <x:c r="G246" s="88" t="n">
        <x:v>992</x:v>
      </x:c>
      <x:c r="H246" s="88" t="n">
        <x:v>126</x:v>
      </x:c>
      <x:c r="I246" s="88" t="n">
        <x:v>25</x:v>
      </x:c>
      <x:c r="J246" s="76" t="n">
        <x:v>3127.66</x:v>
      </x:c>
      <x:c r="K246" s="78" t="n">
        <x:f>G246/F246</x:f>
        <x:v>0.02522568340750159</x:v>
      </x:c>
      <x:c r="L246" s="78" t="n">
        <x:f>IFERROR(H246/G246,0)</x:f>
        <x:v>0.12701612903225806</x:v>
      </x:c>
      <x:c r="M246" s="76" t="n">
        <x:f>IFERROR(E246/H246,0)</x:f>
        <x:v>3.535476190476191</x:v>
      </x:c>
      <x:c r="N246" s="80" t="n">
        <x:f>IFERROR(J246/E246,0)</x:f>
        <x:v>7.021033964127774</x:v>
      </x:c>
    </x:row>
    <x:row r="247">
      <x:c r="A247" s="38" t="n">
        <x:v>46030</x:v>
      </x:c>
      <x:c r="B247" t="str">
        <x:v>2026-01</x:v>
      </x:c>
      <x:c r="C247" t="str">
        <x:v>Influencers</x:v>
      </x:c>
      <x:c r="D247" t="str">
        <x:v>Promo</x:v>
      </x:c>
      <x:c r="E247" s="76" t="n">
        <x:v>641.51</x:v>
      </x:c>
      <x:c r="F247" s="88" t="n">
        <x:v>73047</x:v>
      </x:c>
      <x:c r="G247" s="88" t="n">
        <x:v>1754</x:v>
      </x:c>
      <x:c r="H247" s="88" t="n">
        <x:v>234</x:v>
      </x:c>
      <x:c r="I247" s="88" t="n">
        <x:v>24</x:v>
      </x:c>
      <x:c r="J247" s="76" t="n">
        <x:v>8391.28</x:v>
      </x:c>
      <x:c r="K247" s="78" t="n">
        <x:f>G247/F247</x:f>
        <x:v>0.02401193751967911</x:v>
      </x:c>
      <x:c r="L247" s="78" t="n">
        <x:f>IFERROR(H247/G247,0)</x:f>
        <x:v>0.13340935005701254</x:v>
      </x:c>
      <x:c r="M247" s="76" t="n">
        <x:f>IFERROR(E247/H247,0)</x:f>
        <x:v>2.7414957264957263</x:v>
      </x:c>
      <x:c r="N247" s="80" t="n">
        <x:f>IFERROR(J247/E247,0)</x:f>
        <x:v>13.080513164253091</x:v>
      </x:c>
    </x:row>
    <x:row r="248">
      <x:c r="A248" s="38" t="n">
        <x:v>46184</x:v>
      </x:c>
      <x:c r="B248" t="str">
        <x:v>2026-06</x:v>
      </x:c>
      <x:c r="C248" t="str">
        <x:v>TikTok Ads</x:v>
      </x:c>
      <x:c r="D248" t="str">
        <x:v>Brand</x:v>
      </x:c>
      <x:c r="E248" s="76" t="n">
        <x:v>650.78</x:v>
      </x:c>
      <x:c r="F248" s="88" t="n">
        <x:v>80792</x:v>
      </x:c>
      <x:c r="G248" s="88" t="n">
        <x:v>903</x:v>
      </x:c>
      <x:c r="H248" s="88" t="n">
        <x:v>121</x:v>
      </x:c>
      <x:c r="I248" s="88" t="n">
        <x:v>23</x:v>
      </x:c>
      <x:c r="J248" s="76" t="n">
        <x:v>6957.3</x:v>
      </x:c>
      <x:c r="K248" s="78" t="n">
        <x:f>G248/F248</x:f>
        <x:v>0.011176849192989405</x:v>
      </x:c>
      <x:c r="L248" s="78" t="n">
        <x:f>IFERROR(H248/G248,0)</x:f>
        <x:v>0.13399778516057587</x:v>
      </x:c>
      <x:c r="M248" s="76" t="n">
        <x:f>IFERROR(E248/H248,0)</x:f>
        <x:v>5.3783471074380165</x:v>
      </x:c>
      <x:c r="N248" s="80" t="n">
        <x:f>IFERROR(J248/E248,0)</x:f>
        <x:v>10.690709610006454</x:v>
      </x:c>
    </x:row>
    <x:row r="249">
      <x:c r="A249" s="38" t="n">
        <x:v>46122</x:v>
      </x:c>
      <x:c r="B249" t="str">
        <x:v>2026-04</x:v>
      </x:c>
      <x:c r="C249" t="str">
        <x:v>Email</x:v>
      </x:c>
      <x:c r="D249" t="str">
        <x:v>Launch</x:v>
      </x:c>
      <x:c r="E249" s="76" t="n">
        <x:v>11.73</x:v>
      </x:c>
      <x:c r="F249" s="88" t="n">
        <x:v>7721</x:v>
      </x:c>
      <x:c r="G249" s="88" t="n">
        <x:v>106</x:v>
      </x:c>
      <x:c r="H249" s="88" t="n">
        <x:v>3</x:v>
      </x:c>
      <x:c r="I249" s="88" t="n">
        <x:v>1</x:v>
      </x:c>
      <x:c r="J249" s="76" t="n">
        <x:v>104.7</x:v>
      </x:c>
      <x:c r="K249" s="78" t="n">
        <x:f>G249/F249</x:f>
        <x:v>0.013728791607304754</x:v>
      </x:c>
      <x:c r="L249" s="78" t="n">
        <x:f>IFERROR(H249/G249,0)</x:f>
        <x:v>0.02830188679245283</x:v>
      </x:c>
      <x:c r="M249" s="76" t="n">
        <x:f>IFERROR(E249/H249,0)</x:f>
        <x:v>3.91</x:v>
      </x:c>
      <x:c r="N249" s="80" t="n">
        <x:f>IFERROR(J249/E249,0)</x:f>
        <x:v>8.925831202046036</x:v>
      </x:c>
    </x:row>
    <x:row r="250">
      <x:c r="A250" s="38" t="n">
        <x:v>46164</x:v>
      </x:c>
      <x:c r="B250" t="str">
        <x:v>2026-05</x:v>
      </x:c>
      <x:c r="C250" t="str">
        <x:v>Influencers</x:v>
      </x:c>
      <x:c r="D250" t="str">
        <x:v>Promo</x:v>
      </x:c>
      <x:c r="E250" s="76" t="n">
        <x:v>590.2</x:v>
      </x:c>
      <x:c r="F250" s="88" t="n">
        <x:v>61262</x:v>
      </x:c>
      <x:c r="G250" s="88" t="n">
        <x:v>3635</x:v>
      </x:c>
      <x:c r="H250" s="88" t="n">
        <x:v>241</x:v>
      </x:c>
      <x:c r="I250" s="88" t="n">
        <x:v>57</x:v>
      </x:c>
      <x:c r="J250" s="76" t="n">
        <x:v>16273.41</x:v>
      </x:c>
      <x:c r="K250" s="78" t="n">
        <x:f>G250/F250</x:f>
        <x:v>0.05933531389768535</x:v>
      </x:c>
      <x:c r="L250" s="78" t="n">
        <x:f>IFERROR(H250/G250,0)</x:f>
        <x:v>0.06629986244841815</x:v>
      </x:c>
      <x:c r="M250" s="76" t="n">
        <x:f>IFERROR(E250/H250,0)</x:f>
        <x:v>2.44896265560166</x:v>
      </x:c>
      <x:c r="N250" s="80" t="n">
        <x:f>IFERROR(J250/E250,0)</x:f>
        <x:v>27.572704168078616</x:v>
      </x:c>
    </x:row>
    <x:row r="251">
      <x:c r="A251" s="38" t="n">
        <x:v>46144</x:v>
      </x:c>
      <x:c r="B251" t="str">
        <x:v>2026-05</x:v>
      </x:c>
      <x:c r="C251" t="str">
        <x:v>TikTok Ads</x:v>
      </x:c>
      <x:c r="D251" t="str">
        <x:v>Lead Magnet</x:v>
      </x:c>
      <x:c r="E251" s="76" t="n">
        <x:v>851.59</x:v>
      </x:c>
      <x:c r="F251" s="88" t="n">
        <x:v>41400</x:v>
      </x:c>
      <x:c r="G251" s="88" t="n">
        <x:v>504</x:v>
      </x:c>
      <x:c r="H251" s="88" t="n">
        <x:v>90</x:v>
      </x:c>
      <x:c r="I251" s="88" t="n">
        <x:v>11</x:v>
      </x:c>
      <x:c r="J251" s="76" t="n">
        <x:v>1704.1</x:v>
      </x:c>
      <x:c r="K251" s="78" t="n">
        <x:f>G251/F251</x:f>
        <x:v>0.01217391304347826</x:v>
      </x:c>
      <x:c r="L251" s="78" t="n">
        <x:f>IFERROR(H251/G251,0)</x:f>
        <x:v>0.17857142857142858</x:v>
      </x:c>
      <x:c r="M251" s="76" t="n">
        <x:f>IFERROR(E251/H251,0)</x:f>
        <x:v>9.462111111111112</x:v>
      </x:c>
      <x:c r="N251" s="80" t="n">
        <x:f>IFERROR(J251/E251,0)</x:f>
        <x:v>2.0010803320846886</x:v>
      </x:c>
    </x:row>
    <x:row r="252">
      <x:c r="A252" s="38" t="n">
        <x:v>46077</x:v>
      </x:c>
      <x:c r="B252" t="str">
        <x:v>2026-02</x:v>
      </x:c>
      <x:c r="C252" t="str">
        <x:v>Influencers</x:v>
      </x:c>
      <x:c r="D252" t="str">
        <x:v>Seasonal</x:v>
      </x:c>
      <x:c r="E252" s="76" t="n">
        <x:v>351.78</x:v>
      </x:c>
      <x:c r="F252" s="88" t="n">
        <x:v>83120</x:v>
      </x:c>
      <x:c r="G252" s="88" t="n">
        <x:v>1358</x:v>
      </x:c>
      <x:c r="H252" s="88" t="n">
        <x:v>160</x:v>
      </x:c>
      <x:c r="I252" s="88" t="n">
        <x:v>52</x:v>
      </x:c>
      <x:c r="J252" s="76" t="n">
        <x:v>22859.55</x:v>
      </x:c>
      <x:c r="K252" s="78" t="n">
        <x:f>G252/F252</x:f>
        <x:v>0.016337824831568815</x:v>
      </x:c>
      <x:c r="L252" s="78" t="n">
        <x:f>IFERROR(H252/G252,0)</x:f>
        <x:v>0.11782032400589101</x:v>
      </x:c>
      <x:c r="M252" s="76" t="n">
        <x:f>IFERROR(E252/H252,0)</x:f>
        <x:v>2.198625</x:v>
      </x:c>
      <x:c r="N252" s="80" t="n">
        <x:f>IFERROR(J252/E252,0)</x:f>
        <x:v>64.98251748251748</x:v>
      </x:c>
    </x:row>
    <x:row r="253">
      <x:c r="A253" s="38" t="n">
        <x:v>46180</x:v>
      </x:c>
      <x:c r="B253" t="str">
        <x:v>2026-06</x:v>
      </x:c>
      <x:c r="C253" t="str">
        <x:v>Email</x:v>
      </x:c>
      <x:c r="D253" t="str">
        <x:v>Lead Magnet</x:v>
      </x:c>
      <x:c r="E253" s="76" t="n">
        <x:v>60.25</x:v>
      </x:c>
      <x:c r="F253" s="88" t="n">
        <x:v>72474</x:v>
      </x:c>
      <x:c r="G253" s="88" t="n">
        <x:v>983</x:v>
      </x:c>
      <x:c r="H253" s="88" t="n">
        <x:v>125</x:v>
      </x:c>
      <x:c r="I253" s="88" t="n">
        <x:v>18</x:v>
      </x:c>
      <x:c r="J253" s="76" t="n">
        <x:v>3862.11</x:v>
      </x:c>
      <x:c r="K253" s="78" t="n">
        <x:f>G253/F253</x:f>
        <x:v>0.013563484835941166</x:v>
      </x:c>
      <x:c r="L253" s="78" t="n">
        <x:f>IFERROR(H253/G253,0)</x:f>
        <x:v>0.1271617497456765</x:v>
      </x:c>
      <x:c r="M253" s="76" t="n">
        <x:f>IFERROR(E253/H253,0)</x:f>
        <x:v>0.482</x:v>
      </x:c>
      <x:c r="N253" s="80" t="n">
        <x:f>IFERROR(J253/E253,0)</x:f>
        <x:v>64.10141078838174</x:v>
      </x:c>
    </x:row>
    <x:row r="254">
      <x:c r="A254" s="38" t="n">
        <x:v>46103</x:v>
      </x:c>
      <x:c r="B254" t="str">
        <x:v>2026-03</x:v>
      </x:c>
      <x:c r="C254" t="str">
        <x:v>Organic Search</x:v>
      </x:c>
      <x:c r="D254" t="str">
        <x:v>Promo</x:v>
      </x:c>
      <x:c r="E254" s="76" t="n">
        <x:v>78.42</x:v>
      </x:c>
      <x:c r="F254" s="88" t="n">
        <x:v>56626</x:v>
      </x:c>
      <x:c r="G254" s="88" t="n">
        <x:v>1859</x:v>
      </x:c>
      <x:c r="H254" s="88" t="n">
        <x:v>306</x:v>
      </x:c>
      <x:c r="I254" s="88" t="n">
        <x:v>44</x:v>
      </x:c>
      <x:c r="J254" s="76" t="n">
        <x:v>6060.39</x:v>
      </x:c>
      <x:c r="K254" s="78" t="n">
        <x:f>G254/F254</x:f>
        <x:v>0.03282944230565465</x:v>
      </x:c>
      <x:c r="L254" s="78" t="n">
        <x:f>IFERROR(H254/G254,0)</x:f>
        <x:v>0.16460462614308768</x:v>
      </x:c>
      <x:c r="M254" s="76" t="n">
        <x:f>IFERROR(E254/H254,0)</x:f>
        <x:v>0.2562745098039216</x:v>
      </x:c>
      <x:c r="N254" s="80" t="n">
        <x:f>IFERROR(J254/E254,0)</x:f>
        <x:v>77.28117827084928</x:v>
      </x:c>
    </x:row>
    <x:row r="255">
      <x:c r="A255" s="38" t="n">
        <x:v>46141</x:v>
      </x:c>
      <x:c r="B255" t="str">
        <x:v>2026-04</x:v>
      </x:c>
      <x:c r="C255" t="str">
        <x:v>Influencers</x:v>
      </x:c>
      <x:c r="D255" t="str">
        <x:v>Promo</x:v>
      </x:c>
      <x:c r="E255" s="76" t="n">
        <x:v>451.68</x:v>
      </x:c>
      <x:c r="F255" s="88" t="n">
        <x:v>43607</x:v>
      </x:c>
      <x:c r="G255" s="88" t="n">
        <x:v>2375</x:v>
      </x:c>
      <x:c r="H255" s="88" t="n">
        <x:v>219</x:v>
      </x:c>
      <x:c r="I255" s="88" t="n">
        <x:v>29</x:v>
      </x:c>
      <x:c r="J255" s="76" t="n">
        <x:v>2736.42</x:v>
      </x:c>
      <x:c r="K255" s="78" t="n">
        <x:f>G255/F255</x:f>
        <x:v>0.05446373288692182</x:v>
      </x:c>
      <x:c r="L255" s="78" t="n">
        <x:f>IFERROR(H255/G255,0)</x:f>
        <x:v>0.09221052631578948</x:v>
      </x:c>
      <x:c r="M255" s="76" t="n">
        <x:f>IFERROR(E255/H255,0)</x:f>
        <x:v>2.0624657534246578</x:v>
      </x:c>
      <x:c r="N255" s="80" t="n">
        <x:f>IFERROR(J255/E255,0)</x:f>
        <x:v>6.058315621679065</x:v>
      </x:c>
    </x:row>
    <x:row r="256">
      <x:c r="A256" s="38" t="n">
        <x:v>46179</x:v>
      </x:c>
      <x:c r="B256" t="str">
        <x:v>2026-06</x:v>
      </x:c>
      <x:c r="C256" t="str">
        <x:v>TikTok Ads</x:v>
      </x:c>
      <x:c r="D256" t="str">
        <x:v>Brand</x:v>
      </x:c>
      <x:c r="E256" s="76" t="n">
        <x:v>327.24</x:v>
      </x:c>
      <x:c r="F256" s="88" t="n">
        <x:v>14922</x:v>
      </x:c>
      <x:c r="G256" s="88" t="n">
        <x:v>530</x:v>
      </x:c>
      <x:c r="H256" s="88" t="n">
        <x:v>47</x:v>
      </x:c>
      <x:c r="I256" s="88" t="n">
        <x:v>15</x:v>
      </x:c>
      <x:c r="J256" s="76" t="n">
        <x:v>3362.73</x:v>
      </x:c>
      <x:c r="K256" s="78" t="n">
        <x:f>G256/F256</x:f>
        <x:v>0.03551802707411875</x:v>
      </x:c>
      <x:c r="L256" s="78" t="n">
        <x:f>IFERROR(H256/G256,0)</x:f>
        <x:v>0.08867924528301886</x:v>
      </x:c>
      <x:c r="M256" s="76" t="n">
        <x:f>IFERROR(E256/H256,0)</x:f>
        <x:v>6.962553191489362</x:v>
      </x:c>
      <x:c r="N256" s="80" t="n">
        <x:f>IFERROR(J256/E256,0)</x:f>
        <x:v>10.276035936927025</x:v>
      </x:c>
    </x:row>
    <x:row r="257">
      <x:c r="A257" s="38" t="n">
        <x:v>46096</x:v>
      </x:c>
      <x:c r="B257" t="str">
        <x:v>2026-03</x:v>
      </x:c>
      <x:c r="C257" t="str">
        <x:v>Meta Ads</x:v>
      </x:c>
      <x:c r="D257" t="str">
        <x:v>Seasonal</x:v>
      </x:c>
      <x:c r="E257" s="76" t="n">
        <x:v>1165.97</x:v>
      </x:c>
      <x:c r="F257" s="88" t="n">
        <x:v>43919</x:v>
      </x:c>
      <x:c r="G257" s="88" t="n">
        <x:v>2072</x:v>
      </x:c>
      <x:c r="H257" s="88" t="n">
        <x:v>313</x:v>
      </x:c>
      <x:c r="I257" s="88" t="n">
        <x:v>55</x:v>
      </x:c>
      <x:c r="J257" s="76" t="n">
        <x:v>7002.84</x:v>
      </x:c>
      <x:c r="K257" s="78" t="n">
        <x:f>G257/F257</x:f>
        <x:v>0.04717775905644482</x:v>
      </x:c>
      <x:c r="L257" s="78" t="n">
        <x:f>IFERROR(H257/G257,0)</x:f>
        <x:v>0.15106177606177607</x:v>
      </x:c>
      <x:c r="M257" s="76" t="n">
        <x:f>IFERROR(E257/H257,0)</x:f>
        <x:v>3.725143769968051</x:v>
      </x:c>
      <x:c r="N257" s="80" t="n">
        <x:f>IFERROR(J257/E257,0)</x:f>
        <x:v>6.0060207380978925</x:v>
      </x:c>
    </x:row>
    <x:row r="258">
      <x:c r="A258" s="38" t="n">
        <x:v>46165</x:v>
      </x:c>
      <x:c r="B258" t="str">
        <x:v>2026-05</x:v>
      </x:c>
      <x:c r="C258" t="str">
        <x:v>Influencers</x:v>
      </x:c>
      <x:c r="D258" t="str">
        <x:v>Lead Magnet</x:v>
      </x:c>
      <x:c r="E258" s="76" t="n">
        <x:v>898.01</x:v>
      </x:c>
      <x:c r="F258" s="88" t="n">
        <x:v>84712</x:v>
      </x:c>
      <x:c r="G258" s="88" t="n">
        <x:v>5432</x:v>
      </x:c>
      <x:c r="H258" s="88" t="n">
        <x:v>936</x:v>
      </x:c>
      <x:c r="I258" s="88" t="n">
        <x:v>291</x:v>
      </x:c>
      <x:c r="J258" s="76" t="n">
        <x:v>34273.67</x:v>
      </x:c>
      <x:c r="K258" s="78" t="n">
        <x:f>G258/F258</x:f>
        <x:v>0.06412314666162999</x:v>
      </x:c>
      <x:c r="L258" s="78" t="n">
        <x:f>IFERROR(H258/G258,0)</x:f>
        <x:v>0.1723122238586156</x:v>
      </x:c>
      <x:c r="M258" s="76" t="n">
        <x:f>IFERROR(E258/H258,0)</x:f>
        <x:v>0.9594123931623931</x:v>
      </x:c>
      <x:c r="N258" s="80" t="n">
        <x:f>IFERROR(J258/E258,0)</x:f>
        <x:v>38.16624536475095</x:v>
      </x:c>
    </x:row>
    <x:row r="259">
      <x:c r="A259" s="38" t="n">
        <x:v>46104</x:v>
      </x:c>
      <x:c r="B259" t="str">
        <x:v>2026-03</x:v>
      </x:c>
      <x:c r="C259" t="str">
        <x:v>Influencers</x:v>
      </x:c>
      <x:c r="D259" t="str">
        <x:v>Lead Magnet</x:v>
      </x:c>
      <x:c r="E259" s="76" t="n">
        <x:v>1170.66</x:v>
      </x:c>
      <x:c r="F259" s="88" t="n">
        <x:v>64071</x:v>
      </x:c>
      <x:c r="G259" s="88" t="n">
        <x:v>1479</x:v>
      </x:c>
      <x:c r="H259" s="88" t="n">
        <x:v>194</x:v>
      </x:c>
      <x:c r="I259" s="88" t="n">
        <x:v>38</x:v>
      </x:c>
      <x:c r="J259" s="76" t="n">
        <x:v>12829.63</x:v>
      </x:c>
      <x:c r="K259" s="78" t="n">
        <x:f>G259/F259</x:f>
        <x:v>0.023083766446598306</x:v>
      </x:c>
      <x:c r="L259" s="78" t="n">
        <x:f>IFERROR(H259/G259,0)</x:f>
        <x:v>0.13116970926301555</x:v>
      </x:c>
      <x:c r="M259" s="76" t="n">
        <x:f>IFERROR(E259/H259,0)</x:f>
        <x:v>6.0343298969072166</x:v>
      </x:c>
      <x:c r="N259" s="80" t="n">
        <x:f>IFERROR(J259/E259,0)</x:f>
        <x:v>10.95931354962158</x:v>
      </x:c>
    </x:row>
    <x:row r="260">
      <x:c r="A260" s="38" t="n">
        <x:v>46098</x:v>
      </x:c>
      <x:c r="B260" t="str">
        <x:v>2026-03</x:v>
      </x:c>
      <x:c r="C260" t="str">
        <x:v>Email</x:v>
      </x:c>
      <x:c r="D260" t="str">
        <x:v>Seasonal</x:v>
      </x:c>
      <x:c r="E260" s="76" t="n">
        <x:v>15.66</x:v>
      </x:c>
      <x:c r="F260" s="88" t="n">
        <x:v>35278</x:v>
      </x:c>
      <x:c r="G260" s="88" t="n">
        <x:v>1294</x:v>
      </x:c>
      <x:c r="H260" s="88" t="n">
        <x:v>106</x:v>
      </x:c>
      <x:c r="I260" s="88" t="n">
        <x:v>24</x:v>
      </x:c>
      <x:c r="J260" s="76" t="n">
        <x:v>7825.27</x:v>
      </x:c>
      <x:c r="K260" s="78" t="n">
        <x:f>G260/F260</x:f>
        <x:v>0.03668008390498328</x:v>
      </x:c>
      <x:c r="L260" s="78" t="n">
        <x:f>IFERROR(H260/G260,0)</x:f>
        <x:v>0.08191653786707882</x:v>
      </x:c>
      <x:c r="M260" s="76" t="n">
        <x:f>IFERROR(E260/H260,0)</x:f>
        <x:v>0.14773584905660378</x:v>
      </x:c>
      <x:c r="N260" s="80" t="n">
        <x:f>IFERROR(J260/E260,0)</x:f>
        <x:v>499.69795657726695</x:v>
      </x:c>
    </x:row>
    <x:row r="261">
      <x:c r="A261" s="38" t="n">
        <x:v>46034</x:v>
      </x:c>
      <x:c r="B261" t="str">
        <x:v>2026-01</x:v>
      </x:c>
      <x:c r="C261" t="str">
        <x:v>Organic Search</x:v>
      </x:c>
      <x:c r="D261" t="str">
        <x:v>Lead Magnet</x:v>
      </x:c>
      <x:c r="E261" s="76" t="n">
        <x:v>63.34</x:v>
      </x:c>
      <x:c r="F261" s="88" t="n">
        <x:v>44006</x:v>
      </x:c>
      <x:c r="G261" s="88" t="n">
        <x:v>946</x:v>
      </x:c>
      <x:c r="H261" s="88" t="n">
        <x:v>78</x:v>
      </x:c>
      <x:c r="I261" s="88" t="n">
        <x:v>16</x:v>
      </x:c>
      <x:c r="J261" s="76" t="n">
        <x:v>5030.62</x:v>
      </x:c>
      <x:c r="K261" s="78" t="n">
        <x:f>G261/F261</x:f>
        <x:v>0.02149706858155706</x:v>
      </x:c>
      <x:c r="L261" s="78" t="n">
        <x:f>IFERROR(H261/G261,0)</x:f>
        <x:v>0.0824524312896406</x:v>
      </x:c>
      <x:c r="M261" s="76" t="n">
        <x:f>IFERROR(E261/H261,0)</x:f>
        <x:v>0.8120512820512821</x:v>
      </x:c>
      <x:c r="N261" s="80" t="n">
        <x:f>IFERROR(J261/E261,0)</x:f>
        <x:v>79.42248184401642</x:v>
      </x:c>
    </x:row>
    <x:row r="262">
      <x:c r="A262" s="38" t="n">
        <x:v>46127</x:v>
      </x:c>
      <x:c r="B262" t="str">
        <x:v>2026-04</x:v>
      </x:c>
      <x:c r="C262" t="str">
        <x:v>TikTok Ads</x:v>
      </x:c>
      <x:c r="D262" t="str">
        <x:v>Launch</x:v>
      </x:c>
      <x:c r="E262" s="76" t="n">
        <x:v>185.81</x:v>
      </x:c>
      <x:c r="F262" s="88" t="n">
        <x:v>79121</x:v>
      </x:c>
      <x:c r="G262" s="88" t="n">
        <x:v>1322</x:v>
      </x:c>
      <x:c r="H262" s="88" t="n">
        <x:v>184</x:v>
      </x:c>
      <x:c r="I262" s="88" t="n">
        <x:v>33</x:v>
      </x:c>
      <x:c r="J262" s="76" t="n">
        <x:v>6983.06</x:v>
      </x:c>
      <x:c r="K262" s="78" t="n">
        <x:f>G262/F262</x:f>
        <x:v>0.01670858558410536</x:v>
      </x:c>
      <x:c r="L262" s="78" t="n">
        <x:f>IFERROR(H262/G262,0)</x:f>
        <x:v>0.13918305597579425</x:v>
      </x:c>
      <x:c r="M262" s="76" t="n">
        <x:f>IFERROR(E262/H262,0)</x:f>
        <x:v>1.009836956521739</x:v>
      </x:c>
      <x:c r="N262" s="80" t="n">
        <x:f>IFERROR(J262/E262,0)</x:f>
        <x:v>37.58172326570153</x:v>
      </x:c>
    </x:row>
    <x:row r="263">
      <x:c r="A263" s="38" t="n">
        <x:v>46125</x:v>
      </x:c>
      <x:c r="B263" t="str">
        <x:v>2026-04</x:v>
      </x:c>
      <x:c r="C263" t="str">
        <x:v>Email</x:v>
      </x:c>
      <x:c r="D263" t="str">
        <x:v>Promo</x:v>
      </x:c>
      <x:c r="E263" s="76" t="n">
        <x:v>9.36</x:v>
      </x:c>
      <x:c r="F263" s="88" t="n">
        <x:v>67286</x:v>
      </x:c>
      <x:c r="G263" s="88" t="n">
        <x:v>3729</x:v>
      </x:c>
      <x:c r="H263" s="88" t="n">
        <x:v>218</x:v>
      </x:c>
      <x:c r="I263" s="88" t="n">
        <x:v>33</x:v>
      </x:c>
      <x:c r="J263" s="76" t="n">
        <x:v>3532.78</x:v>
      </x:c>
      <x:c r="K263" s="78" t="n">
        <x:f>G263/F263</x:f>
        <x:v>0.05542014683589454</x:v>
      </x:c>
      <x:c r="L263" s="78" t="n">
        <x:f>IFERROR(H263/G263,0)</x:f>
        <x:v>0.05846071332796997</x:v>
      </x:c>
      <x:c r="M263" s="76" t="n">
        <x:f>IFERROR(E263/H263,0)</x:f>
        <x:v>0.04293577981651376</x:v>
      </x:c>
      <x:c r="N263" s="80" t="n">
        <x:f>IFERROR(J263/E263,0)</x:f>
        <x:v>377.43376068376074</x:v>
      </x:c>
    </x:row>
    <x:row r="264">
      <x:c r="A264" s="38" t="n">
        <x:v>46023</x:v>
      </x:c>
      <x:c r="B264" t="str">
        <x:v>2026-01</x:v>
      </x:c>
      <x:c r="C264" t="str">
        <x:v>Organic Search</x:v>
      </x:c>
      <x:c r="D264" t="str">
        <x:v>Launch</x:v>
      </x:c>
      <x:c r="E264" s="76" t="n">
        <x:v>52.85</x:v>
      </x:c>
      <x:c r="F264" s="88" t="n">
        <x:v>54888</x:v>
      </x:c>
      <x:c r="G264" s="88" t="n">
        <x:v>540</x:v>
      </x:c>
      <x:c r="H264" s="88" t="n">
        <x:v>89</x:v>
      </x:c>
      <x:c r="I264" s="88" t="n">
        <x:v>31</x:v>
      </x:c>
      <x:c r="J264" s="76" t="n">
        <x:v>2319.04</x:v>
      </x:c>
      <x:c r="K264" s="78" t="n">
        <x:f>G264/F264</x:f>
        <x:v>0.009838216003498032</x:v>
      </x:c>
      <x:c r="L264" s="78" t="n">
        <x:f>IFERROR(H264/G264,0)</x:f>
        <x:v>0.1648148148148148</x:v>
      </x:c>
      <x:c r="M264" s="76" t="n">
        <x:f>IFERROR(E264/H264,0)</x:f>
        <x:v>0.5938202247191011</x:v>
      </x:c>
      <x:c r="N264" s="80" t="n">
        <x:f>IFERROR(J264/E264,0)</x:f>
        <x:v>43.87965941343425</x:v>
      </x:c>
    </x:row>
    <x:row r="265">
      <x:c r="A265" s="38" t="n">
        <x:v>46197</x:v>
      </x:c>
      <x:c r="B265" t="str">
        <x:v>2026-06</x:v>
      </x:c>
      <x:c r="C265" t="str">
        <x:v>TikTok Ads</x:v>
      </x:c>
      <x:c r="D265" t="str">
        <x:v>Retargeting</x:v>
      </x:c>
      <x:c r="E265" s="76" t="n">
        <x:v>848.85</x:v>
      </x:c>
      <x:c r="F265" s="88" t="n">
        <x:v>18036</x:v>
      </x:c>
      <x:c r="G265" s="88" t="n">
        <x:v>946</x:v>
      </x:c>
      <x:c r="H265" s="88" t="n">
        <x:v>74</x:v>
      </x:c>
      <x:c r="I265" s="88" t="n">
        <x:v>7</x:v>
      </x:c>
      <x:c r="J265" s="76" t="n">
        <x:v>1400.06</x:v>
      </x:c>
      <x:c r="K265" s="78" t="n">
        <x:f>G265/F265</x:f>
        <x:v>0.05245065424706143</x:v>
      </x:c>
      <x:c r="L265" s="78" t="n">
        <x:f>IFERROR(H265/G265,0)</x:f>
        <x:v>0.07822410147991543</x:v>
      </x:c>
      <x:c r="M265" s="76" t="n">
        <x:f>IFERROR(E265/H265,0)</x:f>
        <x:v>11.470945945945946</x:v>
      </x:c>
      <x:c r="N265" s="80" t="n">
        <x:f>IFERROR(J265/E265,0)</x:f>
        <x:v>1.6493609000412321</x:v>
      </x:c>
    </x:row>
    <x:row r="266">
      <x:c r="A266" s="38" t="n">
        <x:v>46188</x:v>
      </x:c>
      <x:c r="B266" t="str">
        <x:v>2026-06</x:v>
      </x:c>
      <x:c r="C266" t="str">
        <x:v>Meta Ads</x:v>
      </x:c>
      <x:c r="D266" t="str">
        <x:v>Brand</x:v>
      </x:c>
      <x:c r="E266" s="76" t="n">
        <x:v>80.62</x:v>
      </x:c>
      <x:c r="F266" s="88" t="n">
        <x:v>59264</x:v>
      </x:c>
      <x:c r="G266" s="88" t="n">
        <x:v>574</x:v>
      </x:c>
      <x:c r="H266" s="88" t="n">
        <x:v>52</x:v>
      </x:c>
      <x:c r="I266" s="88" t="n">
        <x:v>5</x:v>
      </x:c>
      <x:c r="J266" s="76" t="n">
        <x:v>2165.17</x:v>
      </x:c>
      <x:c r="K266" s="78" t="n">
        <x:f>G266/F266</x:f>
        <x:v>0.00968547516198704</x:v>
      </x:c>
      <x:c r="L266" s="78" t="n">
        <x:f>IFERROR(H266/G266,0)</x:f>
        <x:v>0.09059233449477352</x:v>
      </x:c>
      <x:c r="M266" s="76" t="n">
        <x:f>IFERROR(E266/H266,0)</x:f>
        <x:v>1.5503846153846155</x:v>
      </x:c>
      <x:c r="N266" s="80" t="n">
        <x:f>IFERROR(J266/E266,0)</x:f>
        <x:v>26.856487224013893</x:v>
      </x:c>
    </x:row>
    <x:row r="267">
      <x:c r="A267" s="38" t="n">
        <x:v>46039</x:v>
      </x:c>
      <x:c r="B267" t="str">
        <x:v>2026-01</x:v>
      </x:c>
      <x:c r="C267" t="str">
        <x:v>Influencers</x:v>
      </x:c>
      <x:c r="D267" t="str">
        <x:v>Promo</x:v>
      </x:c>
      <x:c r="E267" s="76" t="n">
        <x:v>915.08</x:v>
      </x:c>
      <x:c r="F267" s="88" t="n">
        <x:v>51450</x:v>
      </x:c>
      <x:c r="G267" s="88" t="n">
        <x:v>2102</x:v>
      </x:c>
      <x:c r="H267" s="88" t="n">
        <x:v>319</x:v>
      </x:c>
      <x:c r="I267" s="88" t="n">
        <x:v>104</x:v>
      </x:c>
      <x:c r="J267" s="76" t="n">
        <x:v>43817.47</x:v>
      </x:c>
      <x:c r="K267" s="78" t="n">
        <x:f>G267/F267</x:f>
        <x:v>0.040855199222546164</x:v>
      </x:c>
      <x:c r="L267" s="78" t="n">
        <x:f>IFERROR(H267/G267,0)</x:f>
        <x:v>0.15176022835394862</x:v>
      </x:c>
      <x:c r="M267" s="76" t="n">
        <x:f>IFERROR(E267/H267,0)</x:f>
        <x:v>2.86858934169279</x:v>
      </x:c>
      <x:c r="N267" s="80" t="n">
        <x:f>IFERROR(J267/E267,0)</x:f>
        <x:v>47.88375879704507</x:v>
      </x:c>
    </x:row>
    <x:row r="268">
      <x:c r="A268" s="38" t="n">
        <x:v>46107</x:v>
      </x:c>
      <x:c r="B268" t="str">
        <x:v>2026-03</x:v>
      </x:c>
      <x:c r="C268" t="str">
        <x:v>TikTok Ads</x:v>
      </x:c>
      <x:c r="D268" t="str">
        <x:v>Brand</x:v>
      </x:c>
      <x:c r="E268" s="76" t="n">
        <x:v>114.08</x:v>
      </x:c>
      <x:c r="F268" s="88" t="n">
        <x:v>43434</x:v>
      </x:c>
      <x:c r="G268" s="88" t="n">
        <x:v>1066</x:v>
      </x:c>
      <x:c r="H268" s="88" t="n">
        <x:v>95</x:v>
      </x:c>
      <x:c r="I268" s="88" t="n">
        <x:v>27</x:v>
      </x:c>
      <x:c r="J268" s="76" t="n">
        <x:v>10467.3</x:v>
      </x:c>
      <x:c r="K268" s="78" t="n">
        <x:f>G268/F268</x:f>
        <x:v>0.024542984758484137</x:v>
      </x:c>
      <x:c r="L268" s="78" t="n">
        <x:f>IFERROR(H268/G268,0)</x:f>
        <x:v>0.08911819887429644</x:v>
      </x:c>
      <x:c r="M268" s="76" t="n">
        <x:f>IFERROR(E268/H268,0)</x:f>
        <x:v>1.200842105263158</x:v>
      </x:c>
      <x:c r="N268" s="80" t="n">
        <x:f>IFERROR(J268/E268,0)</x:f>
        <x:v>91.75403225806451</x:v>
      </x:c>
    </x:row>
    <x:row r="269">
      <x:c r="A269" s="38" t="n">
        <x:v>46141</x:v>
      </x:c>
      <x:c r="B269" t="str">
        <x:v>2026-04</x:v>
      </x:c>
      <x:c r="C269" t="str">
        <x:v>Organic Search</x:v>
      </x:c>
      <x:c r="D269" t="str">
        <x:v>Retargeting</x:v>
      </x:c>
      <x:c r="E269" s="76" t="n">
        <x:v>28.29</x:v>
      </x:c>
      <x:c r="F269" s="88" t="n">
        <x:v>38751</x:v>
      </x:c>
      <x:c r="G269" s="88" t="n">
        <x:v>583</x:v>
      </x:c>
      <x:c r="H269" s="88" t="n">
        <x:v>14</x:v>
      </x:c>
      <x:c r="I269" s="88" t="n">
        <x:v>3</x:v>
      </x:c>
      <x:c r="J269" s="76" t="n">
        <x:v>1207.7</x:v>
      </x:c>
      <x:c r="K269" s="78" t="n">
        <x:f>G269/F269</x:f>
        <x:v>0.015044773038115146</x:v>
      </x:c>
      <x:c r="L269" s="78" t="n">
        <x:f>IFERROR(H269/G269,0)</x:f>
        <x:v>0.024013722126929673</x:v>
      </x:c>
      <x:c r="M269" s="76" t="n">
        <x:f>IFERROR(E269/H269,0)</x:f>
        <x:v>2.0207142857142855</x:v>
      </x:c>
      <x:c r="N269" s="80" t="n">
        <x:f>IFERROR(J269/E269,0)</x:f>
        <x:v>42.68999646518205</x:v>
      </x:c>
    </x:row>
    <x:row r="270">
      <x:c r="A270" s="38" t="n">
        <x:v>46170</x:v>
      </x:c>
      <x:c r="B270" t="str">
        <x:v>2026-05</x:v>
      </x:c>
      <x:c r="C270" t="str">
        <x:v>TikTok Ads</x:v>
      </x:c>
      <x:c r="D270" t="str">
        <x:v>Retargeting</x:v>
      </x:c>
      <x:c r="E270" s="76" t="n">
        <x:v>148.34</x:v>
      </x:c>
      <x:c r="F270" s="88" t="n">
        <x:v>70133</x:v>
      </x:c>
      <x:c r="G270" s="88" t="n">
        <x:v>2319</x:v>
      </x:c>
      <x:c r="H270" s="88" t="n">
        <x:v>167</x:v>
      </x:c>
      <x:c r="I270" s="88" t="n">
        <x:v>23</x:v>
      </x:c>
      <x:c r="J270" s="76" t="n">
        <x:v>10002.07</x:v>
      </x:c>
      <x:c r="K270" s="78" t="n">
        <x:f>G270/F270</x:f>
        <x:v>0.03306574651020205</x:v>
      </x:c>
      <x:c r="L270" s="78" t="n">
        <x:f>IFERROR(H270/G270,0)</x:f>
        <x:v>0.07201379905131522</x:v>
      </x:c>
      <x:c r="M270" s="76" t="n">
        <x:f>IFERROR(E270/H270,0)</x:f>
        <x:v>0.8882634730538922</x:v>
      </x:c>
      <x:c r="N270" s="80" t="n">
        <x:f>IFERROR(J270/E270,0)</x:f>
        <x:v>67.42665498179856</x:v>
      </x:c>
    </x:row>
    <x:row r="271">
      <x:c r="A271" s="38" t="n">
        <x:v>46057</x:v>
      </x:c>
      <x:c r="B271" t="str">
        <x:v>2026-02</x:v>
      </x:c>
      <x:c r="C271" t="str">
        <x:v>Meta Ads</x:v>
      </x:c>
      <x:c r="D271" t="str">
        <x:v>Seasonal</x:v>
      </x:c>
      <x:c r="E271" s="76" t="n">
        <x:v>702.68</x:v>
      </x:c>
      <x:c r="F271" s="88" t="n">
        <x:v>85445</x:v>
      </x:c>
      <x:c r="G271" s="88" t="n">
        <x:v>3560</x:v>
      </x:c>
      <x:c r="H271" s="88" t="n">
        <x:v>156</x:v>
      </x:c>
      <x:c r="I271" s="88" t="n">
        <x:v>42</x:v>
      </x:c>
      <x:c r="J271" s="76" t="n">
        <x:v>9975.37</x:v>
      </x:c>
      <x:c r="K271" s="78" t="n">
        <x:f>G271/F271</x:f>
        <x:v>0.04166422845105038</x:v>
      </x:c>
      <x:c r="L271" s="78" t="n">
        <x:f>IFERROR(H271/G271,0)</x:f>
        <x:v>0.043820224719101124</x:v>
      </x:c>
      <x:c r="M271" s="76" t="n">
        <x:f>IFERROR(E271/H271,0)</x:f>
        <x:v>4.504358974358974</x:v>
      </x:c>
      <x:c r="N271" s="80" t="n">
        <x:f>IFERROR(J271/E271,0)</x:f>
        <x:v>14.196177491888202</x:v>
      </x:c>
    </x:row>
    <x:row r="272">
      <x:c r="A272" s="38" t="n">
        <x:v>46143</x:v>
      </x:c>
      <x:c r="B272" t="str">
        <x:v>2026-05</x:v>
      </x:c>
      <x:c r="C272" t="str">
        <x:v>Organic Search</x:v>
      </x:c>
      <x:c r="D272" t="str">
        <x:v>Seasonal</x:v>
      </x:c>
      <x:c r="E272" s="76" t="n">
        <x:v>93.29</x:v>
      </x:c>
      <x:c r="F272" s="88" t="n">
        <x:v>67928</x:v>
      </x:c>
      <x:c r="G272" s="88" t="n">
        <x:v>4205</x:v>
      </x:c>
      <x:c r="H272" s="88" t="n">
        <x:v>101</x:v>
      </x:c>
      <x:c r="I272" s="88" t="n">
        <x:v>16</x:v>
      </x:c>
      <x:c r="J272" s="76" t="n">
        <x:v>1145.77</x:v>
      </x:c>
      <x:c r="K272" s="78" t="n">
        <x:f>G272/F272</x:f>
        <x:v>0.06190378047344247</x:v>
      </x:c>
      <x:c r="L272" s="78" t="n">
        <x:f>IFERROR(H272/G272,0)</x:f>
        <x:v>0.024019024970273483</x:v>
      </x:c>
      <x:c r="M272" s="76" t="n">
        <x:f>IFERROR(E272/H272,0)</x:f>
        <x:v>0.9236633663366337</x:v>
      </x:c>
      <x:c r="N272" s="80" t="n">
        <x:f>IFERROR(J272/E272,0)</x:f>
        <x:v>12.281809411512487</x:v>
      </x:c>
    </x:row>
    <x:row r="273">
      <x:c r="A273" s="38" t="n">
        <x:v>46120</x:v>
      </x:c>
      <x:c r="B273" t="str">
        <x:v>2026-04</x:v>
      </x:c>
      <x:c r="C273" t="str">
        <x:v>Influencers</x:v>
      </x:c>
      <x:c r="D273" t="str">
        <x:v>Promo</x:v>
      </x:c>
      <x:c r="E273" s="76" t="n">
        <x:v>1136.75</x:v>
      </x:c>
      <x:c r="F273" s="88" t="n">
        <x:v>18372</x:v>
      </x:c>
      <x:c r="G273" s="88" t="n">
        <x:v>644</x:v>
      </x:c>
      <x:c r="H273" s="88" t="n">
        <x:v>48</x:v>
      </x:c>
      <x:c r="I273" s="88" t="n">
        <x:v>4</x:v>
      </x:c>
      <x:c r="J273" s="76" t="n">
        <x:v>1032.95</x:v>
      </x:c>
      <x:c r="K273" s="78" t="n">
        <x:f>G273/F273</x:f>
        <x:v>0.035053342042238186</x:v>
      </x:c>
      <x:c r="L273" s="78" t="n">
        <x:f>IFERROR(H273/G273,0)</x:f>
        <x:v>0.07453416149068323</x:v>
      </x:c>
      <x:c r="M273" s="76" t="n">
        <x:f>IFERROR(E273/H273,0)</x:f>
        <x:v>23.682291666666668</x:v>
      </x:c>
      <x:c r="N273" s="80" t="n">
        <x:f>IFERROR(J273/E273,0)</x:f>
        <x:v>0.9086870464042226</x:v>
      </x:c>
    </x:row>
    <x:row r="274">
      <x:c r="A274" s="38" t="n">
        <x:v>46082</x:v>
      </x:c>
      <x:c r="B274" t="str">
        <x:v>2026-03</x:v>
      </x:c>
      <x:c r="C274" t="str">
        <x:v>Google Ads</x:v>
      </x:c>
      <x:c r="D274" t="str">
        <x:v>Promo</x:v>
      </x:c>
      <x:c r="E274" s="76" t="n">
        <x:v>106.03</x:v>
      </x:c>
      <x:c r="F274" s="88" t="n">
        <x:v>31868</x:v>
      </x:c>
      <x:c r="G274" s="88" t="n">
        <x:v>2164</x:v>
      </x:c>
      <x:c r="H274" s="88" t="n">
        <x:v>276</x:v>
      </x:c>
      <x:c r="I274" s="88" t="n">
        <x:v>53</x:v>
      </x:c>
      <x:c r="J274" s="76" t="n">
        <x:v>16632.02</x:v>
      </x:c>
      <x:c r="K274" s="78" t="n">
        <x:f>G274/F274</x:f>
        <x:v>0.06790510857286305</x:v>
      </x:c>
      <x:c r="L274" s="78" t="n">
        <x:f>IFERROR(H274/G274,0)</x:f>
        <x:v>0.12754158964879853</x:v>
      </x:c>
      <x:c r="M274" s="76" t="n">
        <x:f>IFERROR(E274/H274,0)</x:f>
        <x:v>0.38416666666666666</x:v>
      </x:c>
      <x:c r="N274" s="80" t="n">
        <x:f>IFERROR(J274/E274,0)</x:f>
        <x:v>156.86145430538528</x:v>
      </x:c>
    </x:row>
    <x:row r="275">
      <x:c r="A275" s="38" t="n">
        <x:v>46060</x:v>
      </x:c>
      <x:c r="B275" t="str">
        <x:v>2026-02</x:v>
      </x:c>
      <x:c r="C275" t="str">
        <x:v>TikTok Ads</x:v>
      </x:c>
      <x:c r="D275" t="str">
        <x:v>Seasonal</x:v>
      </x:c>
      <x:c r="E275" s="76" t="n">
        <x:v>109.2</x:v>
      </x:c>
      <x:c r="F275" s="88" t="n">
        <x:v>77118</x:v>
      </x:c>
      <x:c r="G275" s="88" t="n">
        <x:v>2544</x:v>
      </x:c>
      <x:c r="H275" s="88" t="n">
        <x:v>174</x:v>
      </x:c>
      <x:c r="I275" s="88" t="n">
        <x:v>56</x:v>
      </x:c>
      <x:c r="J275" s="76" t="n">
        <x:v>11984.35</x:v>
      </x:c>
      <x:c r="K275" s="78" t="n">
        <x:f>G275/F275</x:f>
        <x:v>0.032988407375709954</x:v>
      </x:c>
      <x:c r="L275" s="78" t="n">
        <x:f>IFERROR(H275/G275,0)</x:f>
        <x:v>0.06839622641509434</x:v>
      </x:c>
      <x:c r="M275" s="76" t="n">
        <x:f>IFERROR(E275/H275,0)</x:f>
        <x:v>0.6275862068965518</x:v>
      </x:c>
      <x:c r="N275" s="80" t="n">
        <x:f>IFERROR(J275/E275,0)</x:f>
        <x:v>109.74679487179488</x:v>
      </x:c>
    </x:row>
    <x:row r="276">
      <x:c r="A276" s="38" t="n">
        <x:v>46036</x:v>
      </x:c>
      <x:c r="B276" t="str">
        <x:v>2026-01</x:v>
      </x:c>
      <x:c r="C276" t="str">
        <x:v>Influencers</x:v>
      </x:c>
      <x:c r="D276" t="str">
        <x:v>Launch</x:v>
      </x:c>
      <x:c r="E276" s="76" t="n">
        <x:v>766.65</x:v>
      </x:c>
      <x:c r="F276" s="88" t="n">
        <x:v>76665</x:v>
      </x:c>
      <x:c r="G276" s="88" t="n">
        <x:v>5040</x:v>
      </x:c>
      <x:c r="H276" s="88" t="n">
        <x:v>869</x:v>
      </x:c>
      <x:c r="I276" s="88" t="n">
        <x:v>148</x:v>
      </x:c>
      <x:c r="J276" s="76" t="n">
        <x:v>38865.57</x:v>
      </x:c>
      <x:c r="K276" s="78" t="n">
        <x:f>G276/F276</x:f>
        <x:v>0.06574055957738212</x:v>
      </x:c>
      <x:c r="L276" s="78" t="n">
        <x:f>IFERROR(H276/G276,0)</x:f>
        <x:v>0.17242063492063492</x:v>
      </x:c>
      <x:c r="M276" s="76" t="n">
        <x:f>IFERROR(E276/H276,0)</x:f>
        <x:v>0.8822209436133487</x:v>
      </x:c>
      <x:c r="N276" s="80" t="n">
        <x:f>IFERROR(J276/E276,0)</x:f>
        <x:v>50.695323811387205</x:v>
      </x:c>
    </x:row>
    <x:row r="277">
      <x:c r="A277" s="38" t="n">
        <x:v>46124</x:v>
      </x:c>
      <x:c r="B277" t="str">
        <x:v>2026-04</x:v>
      </x:c>
      <x:c r="C277" t="str">
        <x:v>Email</x:v>
      </x:c>
      <x:c r="D277" t="str">
        <x:v>Promo</x:v>
      </x:c>
      <x:c r="E277" s="76" t="n">
        <x:v>141.8</x:v>
      </x:c>
      <x:c r="F277" s="88" t="n">
        <x:v>72252</x:v>
      </x:c>
      <x:c r="G277" s="88" t="n">
        <x:v>563</x:v>
      </x:c>
      <x:c r="H277" s="88" t="n">
        <x:v>27</x:v>
      </x:c>
      <x:c r="I277" s="88" t="n">
        <x:v>7</x:v>
      </x:c>
      <x:c r="J277" s="76" t="n">
        <x:v>761.29</x:v>
      </x:c>
      <x:c r="K277" s="78" t="n">
        <x:f>G277/F277</x:f>
        <x:v>0.007792171842993966</x:v>
      </x:c>
      <x:c r="L277" s="78" t="n">
        <x:f>IFERROR(H277/G277,0)</x:f>
        <x:v>0.047957371225577264</x:v>
      </x:c>
      <x:c r="M277" s="76" t="n">
        <x:f>IFERROR(E277/H277,0)</x:f>
        <x:v>5.251851851851852</x:v>
      </x:c>
      <x:c r="N277" s="80" t="n">
        <x:f>IFERROR(J277/E277,0)</x:f>
        <x:v>5.368758815232721</x:v>
      </x:c>
    </x:row>
    <x:row r="278">
      <x:c r="A278" s="38" t="n">
        <x:v>46040</x:v>
      </x:c>
      <x:c r="B278" t="str">
        <x:v>2026-01</x:v>
      </x:c>
      <x:c r="C278" t="str">
        <x:v>TikTok Ads</x:v>
      </x:c>
      <x:c r="D278" t="str">
        <x:v>Brand</x:v>
      </x:c>
      <x:c r="E278" s="76" t="n">
        <x:v>690.72</x:v>
      </x:c>
      <x:c r="F278" s="88" t="n">
        <x:v>38558</x:v>
      </x:c>
      <x:c r="G278" s="88" t="n">
        <x:v>275</x:v>
      </x:c>
      <x:c r="H278" s="88" t="n">
        <x:v>48</x:v>
      </x:c>
      <x:c r="I278" s="88" t="n">
        <x:v>6</x:v>
      </x:c>
      <x:c r="J278" s="76" t="n">
        <x:v>1723.6</x:v>
      </x:c>
      <x:c r="K278" s="78" t="n">
        <x:f>G278/F278</x:f>
        <x:v>0.007132112661445096</x:v>
      </x:c>
      <x:c r="L278" s="78" t="n">
        <x:f>IFERROR(H278/G278,0)</x:f>
        <x:v>0.17454545454545456</x:v>
      </x:c>
      <x:c r="M278" s="76" t="n">
        <x:f>IFERROR(E278/H278,0)</x:f>
        <x:v>14.39</x:v>
      </x:c>
      <x:c r="N278" s="80" t="n">
        <x:f>IFERROR(J278/E278,0)</x:f>
        <x:v>2.4953671531155894</x:v>
      </x:c>
    </x:row>
    <x:row r="279">
      <x:c r="A279" s="38" t="n">
        <x:v>46055</x:v>
      </x:c>
      <x:c r="B279" t="str">
        <x:v>2026-02</x:v>
      </x:c>
      <x:c r="C279" t="str">
        <x:v>Google Ads</x:v>
      </x:c>
      <x:c r="D279" t="str">
        <x:v>Retargeting</x:v>
      </x:c>
      <x:c r="E279" s="76" t="n">
        <x:v>790.06</x:v>
      </x:c>
      <x:c r="F279" s="88" t="n">
        <x:v>11639</x:v>
      </x:c>
      <x:c r="G279" s="88" t="n">
        <x:v>363</x:v>
      </x:c>
      <x:c r="H279" s="88" t="n">
        <x:v>13</x:v>
      </x:c>
      <x:c r="I279" s="88" t="n">
        <x:v>2</x:v>
      </x:c>
      <x:c r="J279" s="76" t="n">
        <x:v>624.05</x:v>
      </x:c>
      <x:c r="K279" s="78" t="n">
        <x:f>G279/F279</x:f>
        <x:v>0.03118824641292207</x:v>
      </x:c>
      <x:c r="L279" s="78" t="n">
        <x:f>IFERROR(H279/G279,0)</x:f>
        <x:v>0.03581267217630854</x:v>
      </x:c>
      <x:c r="M279" s="76" t="n">
        <x:f>IFERROR(E279/H279,0)</x:f>
        <x:v>60.77384615384615</x:v>
      </x:c>
      <x:c r="N279" s="80" t="n">
        <x:f>IFERROR(J279/E279,0)</x:f>
        <x:v>0.7898767182239324</x:v>
      </x:c>
    </x:row>
    <x:row r="280">
      <x:c r="A280" s="38" t="n">
        <x:v>46085</x:v>
      </x:c>
      <x:c r="B280" t="str">
        <x:v>2026-03</x:v>
      </x:c>
      <x:c r="C280" t="str">
        <x:v>Email</x:v>
      </x:c>
      <x:c r="D280" t="str">
        <x:v>Lead Magnet</x:v>
      </x:c>
      <x:c r="E280" s="76" t="n">
        <x:v>26.85</x:v>
      </x:c>
      <x:c r="F280" s="88" t="n">
        <x:v>46378</x:v>
      </x:c>
      <x:c r="G280" s="88" t="n">
        <x:v>2861</x:v>
      </x:c>
      <x:c r="H280" s="88" t="n">
        <x:v>253</x:v>
      </x:c>
      <x:c r="I280" s="88" t="n">
        <x:v>40</x:v>
      </x:c>
      <x:c r="J280" s="76" t="n">
        <x:v>14859.56</x:v>
      </x:c>
      <x:c r="K280" s="78" t="n">
        <x:f>G280/F280</x:f>
        <x:v>0.061688731726249516</x:v>
      </x:c>
      <x:c r="L280" s="78" t="n">
        <x:f>IFERROR(H280/G280,0)</x:f>
        <x:v>0.08843061866480252</x:v>
      </x:c>
      <x:c r="M280" s="76" t="n">
        <x:f>IFERROR(E280/H280,0)</x:f>
        <x:v>0.10612648221343875</x:v>
      </x:c>
      <x:c r="N280" s="80" t="n">
        <x:f>IFERROR(J280/E280,0)</x:f>
        <x:v>553.4286778398509</x:v>
      </x:c>
    </x:row>
    <x:row r="281">
      <x:c r="A281" s="38" t="n">
        <x:v>46040</x:v>
      </x:c>
      <x:c r="B281" t="str">
        <x:v>2026-01</x:v>
      </x:c>
      <x:c r="C281" t="str">
        <x:v>Influencers</x:v>
      </x:c>
      <x:c r="D281" t="str">
        <x:v>Launch</x:v>
      </x:c>
      <x:c r="E281" s="76" t="n">
        <x:v>933.18</x:v>
      </x:c>
      <x:c r="F281" s="88" t="n">
        <x:v>35139</x:v>
      </x:c>
      <x:c r="G281" s="88" t="n">
        <x:v>1059</x:v>
      </x:c>
      <x:c r="H281" s="88" t="n">
        <x:v>138</x:v>
      </x:c>
      <x:c r="I281" s="88" t="n">
        <x:v>39</x:v>
      </x:c>
      <x:c r="J281" s="76" t="n">
        <x:v>17474.3</x:v>
      </x:c>
      <x:c r="K281" s="78" t="n">
        <x:f>G281/F281</x:f>
        <x:v>0.03013745411081704</x:v>
      </x:c>
      <x:c r="L281" s="78" t="n">
        <x:f>IFERROR(H281/G281,0)</x:f>
        <x:v>0.13031161473087818</x:v>
      </x:c>
      <x:c r="M281" s="76" t="n">
        <x:f>IFERROR(E281/H281,0)</x:f>
        <x:v>6.762173913043478</x:v>
      </x:c>
      <x:c r="N281" s="80" t="n">
        <x:f>IFERROR(J281/E281,0)</x:f>
        <x:v>18.725540624531174</x:v>
      </x:c>
    </x:row>
    <x:row r="282">
      <x:c r="A282" s="38" t="n">
        <x:v>46067</x:v>
      </x:c>
      <x:c r="B282" t="str">
        <x:v>2026-02</x:v>
      </x:c>
      <x:c r="C282" t="str">
        <x:v>Meta Ads</x:v>
      </x:c>
      <x:c r="D282" t="str">
        <x:v>Promo</x:v>
      </x:c>
      <x:c r="E282" s="76" t="n">
        <x:v>122.74</x:v>
      </x:c>
      <x:c r="F282" s="88" t="n">
        <x:v>75942</x:v>
      </x:c>
      <x:c r="G282" s="88" t="n">
        <x:v>3750</x:v>
      </x:c>
      <x:c r="H282" s="88" t="n">
        <x:v>569</x:v>
      </x:c>
      <x:c r="I282" s="88" t="n">
        <x:v>130</x:v>
      </x:c>
      <x:c r="J282" s="76" t="n">
        <x:v>32039.88</x:v>
      </x:c>
      <x:c r="K282" s="78" t="n">
        <x:f>G282/F282</x:f>
        <x:v>0.04937978983961444</x:v>
      </x:c>
      <x:c r="L282" s="78" t="n">
        <x:f>IFERROR(H282/G282,0)</x:f>
        <x:v>0.15173333333333333</x:v>
      </x:c>
      <x:c r="M282" s="76" t="n">
        <x:f>IFERROR(E282/H282,0)</x:f>
        <x:v>0.2157117750439367</x:v>
      </x:c>
      <x:c r="N282" s="80" t="n">
        <x:f>IFERROR(J282/E282,0)</x:f>
        <x:v>261.0386182173701</x:v>
      </x:c>
    </x:row>
    <x:row r="283">
      <x:c r="A283" s="38" t="n">
        <x:v>46177</x:v>
      </x:c>
      <x:c r="B283" t="str">
        <x:v>2026-06</x:v>
      </x:c>
      <x:c r="C283" t="str">
        <x:v>Meta Ads</x:v>
      </x:c>
      <x:c r="D283" t="str">
        <x:v>Launch</x:v>
      </x:c>
      <x:c r="E283" s="76" t="n">
        <x:v>899.97</x:v>
      </x:c>
      <x:c r="F283" s="88" t="n">
        <x:v>75585</x:v>
      </x:c>
      <x:c r="G283" s="88" t="n">
        <x:v>2191</x:v>
      </x:c>
      <x:c r="H283" s="88" t="n">
        <x:v>58</x:v>
      </x:c>
      <x:c r="I283" s="88" t="n">
        <x:v>9</x:v>
      </x:c>
      <x:c r="J283" s="76" t="n">
        <x:v>3192.96</x:v>
      </x:c>
      <x:c r="K283" s="78" t="n">
        <x:f>G283/F283</x:f>
        <x:v>0.028987232916583977</x:v>
      </x:c>
      <x:c r="L283" s="78" t="n">
        <x:f>IFERROR(H283/G283,0)</x:f>
        <x:v>0.02647193062528526</x:v>
      </x:c>
      <x:c r="M283" s="76" t="n">
        <x:f>IFERROR(E283/H283,0)</x:f>
        <x:v>15.516724137931035</x:v>
      </x:c>
      <x:c r="N283" s="80" t="n">
        <x:f>IFERROR(J283/E283,0)</x:f>
        <x:v>3.547851595053168</x:v>
      </x:c>
    </x:row>
    <x:row r="284">
      <x:c r="A284" s="38" t="n">
        <x:v>46156</x:v>
      </x:c>
      <x:c r="B284" t="str">
        <x:v>2026-05</x:v>
      </x:c>
      <x:c r="C284" t="str">
        <x:v>Email</x:v>
      </x:c>
      <x:c r="D284" t="str">
        <x:v>Seasonal</x:v>
      </x:c>
      <x:c r="E284" s="76" t="n">
        <x:v>66.28</x:v>
      </x:c>
      <x:c r="F284" s="88" t="n">
        <x:v>61031</x:v>
      </x:c>
      <x:c r="G284" s="88" t="n">
        <x:v>1117</x:v>
      </x:c>
      <x:c r="H284" s="88" t="n">
        <x:v>51</x:v>
      </x:c>
      <x:c r="I284" s="88" t="n">
        <x:v>15</x:v>
      </x:c>
      <x:c r="J284" s="76" t="n">
        <x:v>1954.37</x:v>
      </x:c>
      <x:c r="K284" s="78" t="n">
        <x:f>G284/F284</x:f>
        <x:v>0.018302174304861463</x:v>
      </x:c>
      <x:c r="L284" s="78" t="n">
        <x:f>IFERROR(H284/G284,0)</x:f>
        <x:v>0.045658012533572066</x:v>
      </x:c>
      <x:c r="M284" s="76" t="n">
        <x:f>IFERROR(E284/H284,0)</x:f>
        <x:v>1.2996078431372549</x:v>
      </x:c>
      <x:c r="N284" s="80" t="n">
        <x:f>IFERROR(J284/E284,0)</x:f>
        <x:v>29.486572118286055</x:v>
      </x:c>
    </x:row>
    <x:row r="285">
      <x:c r="A285" s="38" t="n">
        <x:v>46162</x:v>
      </x:c>
      <x:c r="B285" t="str">
        <x:v>2026-05</x:v>
      </x:c>
      <x:c r="C285" t="str">
        <x:v>Meta Ads</x:v>
      </x:c>
      <x:c r="D285" t="str">
        <x:v>Promo</x:v>
      </x:c>
      <x:c r="E285" s="76" t="n">
        <x:v>1125.29</x:v>
      </x:c>
      <x:c r="F285" s="88" t="n">
        <x:v>13980</x:v>
      </x:c>
      <x:c r="G285" s="88" t="n">
        <x:v>685</x:v>
      </x:c>
      <x:c r="H285" s="88" t="n">
        <x:v>115</x:v>
      </x:c>
      <x:c r="I285" s="88" t="n">
        <x:v>37</x:v>
      </x:c>
      <x:c r="J285" s="76" t="n">
        <x:v>11432.25</x:v>
      </x:c>
      <x:c r="K285" s="78" t="n">
        <x:f>G285/F285</x:f>
        <x:v>0.04899856938483548</x:v>
      </x:c>
      <x:c r="L285" s="78" t="n">
        <x:f>IFERROR(H285/G285,0)</x:f>
        <x:v>0.1678832116788321</x:v>
      </x:c>
      <x:c r="M285" s="76" t="n">
        <x:f>IFERROR(E285/H285,0)</x:f>
        <x:v>9.785130434782609</x:v>
      </x:c>
      <x:c r="N285" s="80" t="n">
        <x:f>IFERROR(J285/E285,0)</x:f>
        <x:v>10.159381137306827</x:v>
      </x:c>
    </x:row>
    <x:row r="286">
      <x:c r="A286" s="38" t="n">
        <x:v>46194</x:v>
      </x:c>
      <x:c r="B286" t="str">
        <x:v>2026-06</x:v>
      </x:c>
      <x:c r="C286" t="str">
        <x:v>Organic Search</x:v>
      </x:c>
      <x:c r="D286" t="str">
        <x:v>Lead Magnet</x:v>
      </x:c>
      <x:c r="E286" s="76" t="n">
        <x:v>19.05</x:v>
      </x:c>
      <x:c r="F286" s="88" t="n">
        <x:v>82048</x:v>
      </x:c>
      <x:c r="G286" s="88" t="n">
        <x:v>4370</x:v>
      </x:c>
      <x:c r="H286" s="88" t="n">
        <x:v>571</x:v>
      </x:c>
      <x:c r="I286" s="88" t="n">
        <x:v>59</x:v>
      </x:c>
      <x:c r="J286" s="76" t="n">
        <x:v>9238.6</x:v>
      </x:c>
      <x:c r="K286" s="78" t="n">
        <x:f>G286/F286</x:f>
        <x:v>0.053261505460218406</x:v>
      </x:c>
      <x:c r="L286" s="78" t="n">
        <x:f>IFERROR(H286/G286,0)</x:f>
        <x:v>0.13066361556064074</x:v>
      </x:c>
      <x:c r="M286" s="76" t="n">
        <x:f>IFERROR(E286/H286,0)</x:f>
        <x:v>0.03336252189141856</x:v>
      </x:c>
      <x:c r="N286" s="80" t="n">
        <x:f>IFERROR(J286/E286,0)</x:f>
        <x:v>484.96587926509187</x:v>
      </x:c>
    </x:row>
    <x:row r="287">
      <x:c r="A287" s="38" t="n">
        <x:v>46048</x:v>
      </x:c>
      <x:c r="B287" t="str">
        <x:v>2026-01</x:v>
      </x:c>
      <x:c r="C287" t="str">
        <x:v>Email</x:v>
      </x:c>
      <x:c r="D287" t="str">
        <x:v>Launch</x:v>
      </x:c>
      <x:c r="E287" s="76" t="n">
        <x:v>165</x:v>
      </x:c>
      <x:c r="F287" s="88" t="n">
        <x:v>11947</x:v>
      </x:c>
      <x:c r="G287" s="88" t="n">
        <x:v>528</x:v>
      </x:c>
      <x:c r="H287" s="88" t="n">
        <x:v>85</x:v>
      </x:c>
      <x:c r="I287" s="88" t="n">
        <x:v>16</x:v>
      </x:c>
      <x:c r="J287" s="76" t="n">
        <x:v>5096.8</x:v>
      </x:c>
      <x:c r="K287" s="78" t="n">
        <x:f>G287/F287</x:f>
        <x:v>0.04419519544655562</x:v>
      </x:c>
      <x:c r="L287" s="78" t="n">
        <x:f>IFERROR(H287/G287,0)</x:f>
        <x:v>0.16098484848484848</x:v>
      </x:c>
      <x:c r="M287" s="76" t="n">
        <x:f>IFERROR(E287/H287,0)</x:f>
        <x:v>1.9411764705882353</x:v>
      </x:c>
      <x:c r="N287" s="80" t="n">
        <x:f>IFERROR(J287/E287,0)</x:f>
        <x:v>30.88969696969697</x:v>
      </x:c>
    </x:row>
    <x:row r="288">
      <x:c r="A288" s="38" t="n">
        <x:v>46042</x:v>
      </x:c>
      <x:c r="B288" t="str">
        <x:v>2026-01</x:v>
      </x:c>
      <x:c r="C288" t="str">
        <x:v>Meta Ads</x:v>
      </x:c>
      <x:c r="D288" t="str">
        <x:v>Lead Magnet</x:v>
      </x:c>
      <x:c r="E288" s="76" t="n">
        <x:v>954.79</x:v>
      </x:c>
      <x:c r="F288" s="88" t="n">
        <x:v>66308</x:v>
      </x:c>
      <x:c r="G288" s="88" t="n">
        <x:v>1894</x:v>
      </x:c>
      <x:c r="H288" s="88" t="n">
        <x:v>325</x:v>
      </x:c>
      <x:c r="I288" s="88" t="n">
        <x:v>90</x:v>
      </x:c>
      <x:c r="J288" s="76" t="n">
        <x:v>32508.97</x:v>
      </x:c>
      <x:c r="K288" s="78" t="n">
        <x:f>G288/F288</x:f>
        <x:v>0.028563672558364</x:v>
      </x:c>
      <x:c r="L288" s="78" t="n">
        <x:f>IFERROR(H288/G288,0)</x:f>
        <x:v>0.17159450897571277</x:v>
      </x:c>
      <x:c r="M288" s="76" t="n">
        <x:f>IFERROR(E288/H288,0)</x:f>
        <x:v>2.9378153846153845</x:v>
      </x:c>
      <x:c r="N288" s="80" t="n">
        <x:f>IFERROR(J288/E288,0)</x:f>
        <x:v>34.04829334199143</x:v>
      </x:c>
    </x:row>
    <x:row r="289">
      <x:c r="A289" s="38" t="n">
        <x:v>46030</x:v>
      </x:c>
      <x:c r="B289" t="str">
        <x:v>2026-01</x:v>
      </x:c>
      <x:c r="C289" t="str">
        <x:v>Meta Ads</x:v>
      </x:c>
      <x:c r="D289" t="str">
        <x:v>Launch</x:v>
      </x:c>
      <x:c r="E289" s="76" t="n">
        <x:v>708.37</x:v>
      </x:c>
      <x:c r="F289" s="88" t="n">
        <x:v>89087</x:v>
      </x:c>
      <x:c r="G289" s="88" t="n">
        <x:v>1404</x:v>
      </x:c>
      <x:c r="H289" s="88" t="n">
        <x:v>69</x:v>
      </x:c>
      <x:c r="I289" s="88" t="n">
        <x:v>13</x:v>
      </x:c>
      <x:c r="J289" s="76" t="n">
        <x:v>2761.29</x:v>
      </x:c>
      <x:c r="K289" s="78" t="n">
        <x:f>G289/F289</x:f>
        <x:v>0.015759875178196596</x:v>
      </x:c>
      <x:c r="L289" s="78" t="n">
        <x:f>IFERROR(H289/G289,0)</x:f>
        <x:v>0.049145299145299144</x:v>
      </x:c>
      <x:c r="M289" s="76" t="n">
        <x:f>IFERROR(E289/H289,0)</x:f>
        <x:v>10.266231884057971</x:v>
      </x:c>
      <x:c r="N289" s="80" t="n">
        <x:f>IFERROR(J289/E289,0)</x:f>
        <x:v>3.8980899812245013</x:v>
      </x:c>
    </x:row>
    <x:row r="290">
      <x:c r="A290" s="38" t="n">
        <x:v>46024</x:v>
      </x:c>
      <x:c r="B290" t="str">
        <x:v>2026-01</x:v>
      </x:c>
      <x:c r="C290" t="str">
        <x:v>Influencers</x:v>
      </x:c>
      <x:c r="D290" t="str">
        <x:v>Promo</x:v>
      </x:c>
      <x:c r="E290" s="76" t="n">
        <x:v>126.62</x:v>
      </x:c>
      <x:c r="F290" s="88" t="n">
        <x:v>24454</x:v>
      </x:c>
      <x:c r="G290" s="88" t="n">
        <x:v>590</x:v>
      </x:c>
      <x:c r="H290" s="88" t="n">
        <x:v>43</x:v>
      </x:c>
      <x:c r="I290" s="88" t="n">
        <x:v>10</x:v>
      </x:c>
      <x:c r="J290" s="76" t="n">
        <x:v>4195.17</x:v>
      </x:c>
      <x:c r="K290" s="78" t="n">
        <x:f>G290/F290</x:f>
        <x:v>0.024126932199231208</x:v>
      </x:c>
      <x:c r="L290" s="78" t="n">
        <x:f>IFERROR(H290/G290,0)</x:f>
        <x:v>0.07288135593220339</x:v>
      </x:c>
      <x:c r="M290" s="76" t="n">
        <x:f>IFERROR(E290/H290,0)</x:f>
        <x:v>2.9446511627906977</x:v>
      </x:c>
      <x:c r="N290" s="80" t="n">
        <x:f>IFERROR(J290/E290,0)</x:f>
        <x:v>33.13196967303743</x:v>
      </x:c>
    </x:row>
    <x:row r="291">
      <x:c r="A291" s="38" t="n">
        <x:v>46091</x:v>
      </x:c>
      <x:c r="B291" t="str">
        <x:v>2026-03</x:v>
      </x:c>
      <x:c r="C291" t="str">
        <x:v>Influencers</x:v>
      </x:c>
      <x:c r="D291" t="str">
        <x:v>Retargeting</x:v>
      </x:c>
      <x:c r="E291" s="76" t="n">
        <x:v>589.28</x:v>
      </x:c>
      <x:c r="F291" s="88" t="n">
        <x:v>61682</x:v>
      </x:c>
      <x:c r="G291" s="88" t="n">
        <x:v>3756</x:v>
      </x:c>
      <x:c r="H291" s="88" t="n">
        <x:v>201</x:v>
      </x:c>
      <x:c r="I291" s="88" t="n">
        <x:v>30</x:v>
      </x:c>
      <x:c r="J291" s="76" t="n">
        <x:v>9500.6</x:v>
      </x:c>
      <x:c r="K291" s="78" t="n">
        <x:f>G291/F291</x:f>
        <x:v>0.060892967154113034</x:v>
      </x:c>
      <x:c r="L291" s="78" t="n">
        <x:f>IFERROR(H291/G291,0)</x:f>
        <x:v>0.05351437699680511</x:v>
      </x:c>
      <x:c r="M291" s="76" t="n">
        <x:f>IFERROR(E291/H291,0)</x:f>
        <x:v>2.931741293532338</x:v>
      </x:c>
      <x:c r="N291" s="80" t="n">
        <x:f>IFERROR(J291/E291,0)</x:f>
        <x:v>16.122386641325008</x:v>
      </x:c>
    </x:row>
    <x:row r="292">
      <x:c r="A292" s="38" t="n">
        <x:v>46142</x:v>
      </x:c>
      <x:c r="B292" t="str">
        <x:v>2026-04</x:v>
      </x:c>
      <x:c r="C292" t="str">
        <x:v>Influencers</x:v>
      </x:c>
      <x:c r="D292" t="str">
        <x:v>Launch</x:v>
      </x:c>
      <x:c r="E292" s="76" t="n">
        <x:v>739.34</x:v>
      </x:c>
      <x:c r="F292" s="88" t="n">
        <x:v>3107</x:v>
      </x:c>
      <x:c r="G292" s="88" t="n">
        <x:v>216</x:v>
      </x:c>
      <x:c r="H292" s="88" t="n">
        <x:v>34</x:v>
      </x:c>
      <x:c r="I292" s="88" t="n">
        <x:v>7</x:v>
      </x:c>
      <x:c r="J292" s="76" t="n">
        <x:v>2914.06</x:v>
      </x:c>
      <x:c r="K292" s="78" t="n">
        <x:f>G292/F292</x:f>
        <x:v>0.06952043772127454</x:v>
      </x:c>
      <x:c r="L292" s="78" t="n">
        <x:f>IFERROR(H292/G292,0)</x:f>
        <x:v>0.1574074074074074</x:v>
      </x:c>
      <x:c r="M292" s="76" t="n">
        <x:f>IFERROR(E292/H292,0)</x:f>
        <x:v>21.74529411764706</x:v>
      </x:c>
      <x:c r="N292" s="80" t="n">
        <x:f>IFERROR(J292/E292,0)</x:f>
        <x:v>3.941434252170855</x:v>
      </x:c>
    </x:row>
    <x:row r="293">
      <x:c r="A293" s="38" t="n">
        <x:v>46047</x:v>
      </x:c>
      <x:c r="B293" t="str">
        <x:v>2026-01</x:v>
      </x:c>
      <x:c r="C293" t="str">
        <x:v>Email</x:v>
      </x:c>
      <x:c r="D293" t="str">
        <x:v>Lead Magnet</x:v>
      </x:c>
      <x:c r="E293" s="76" t="n">
        <x:v>33.74</x:v>
      </x:c>
      <x:c r="F293" s="88" t="n">
        <x:v>43855</x:v>
      </x:c>
      <x:c r="G293" s="88" t="n">
        <x:v>2314</x:v>
      </x:c>
      <x:c r="H293" s="88" t="n">
        <x:v>116</x:v>
      </x:c>
      <x:c r="I293" s="88" t="n">
        <x:v>33</x:v>
      </x:c>
      <x:c r="J293" s="76" t="n">
        <x:v>14253.39</x:v>
      </x:c>
      <x:c r="K293" s="78" t="n">
        <x:f>G293/F293</x:f>
        <x:v>0.05276479306806522</x:v>
      </x:c>
      <x:c r="L293" s="78" t="n">
        <x:f>IFERROR(H293/G293,0)</x:f>
        <x:v>0.05012964563526361</x:v>
      </x:c>
      <x:c r="M293" s="76" t="n">
        <x:f>IFERROR(E293/H293,0)</x:f>
        <x:v>0.29086206896551725</x:v>
      </x:c>
      <x:c r="N293" s="80" t="n">
        <x:f>IFERROR(J293/E293,0)</x:f>
        <x:v>422.44783639596915</x:v>
      </x:c>
    </x:row>
    <x:row r="294">
      <x:c r="A294" s="38" t="n">
        <x:v>46199</x:v>
      </x:c>
      <x:c r="B294" t="str">
        <x:v>2026-06</x:v>
      </x:c>
      <x:c r="C294" t="str">
        <x:v>TikTok Ads</x:v>
      </x:c>
      <x:c r="D294" t="str">
        <x:v>Retargeting</x:v>
      </x:c>
      <x:c r="E294" s="76" t="n">
        <x:v>74.49</x:v>
      </x:c>
      <x:c r="F294" s="88" t="n">
        <x:v>18558</x:v>
      </x:c>
      <x:c r="G294" s="88" t="n">
        <x:v>828</x:v>
      </x:c>
      <x:c r="H294" s="88" t="n">
        <x:v>86</x:v>
      </x:c>
      <x:c r="I294" s="88" t="n">
        <x:v>26</x:v>
      </x:c>
      <x:c r="J294" s="76" t="n">
        <x:v>4125.84</x:v>
      </x:c>
      <x:c r="K294" s="78" t="n">
        <x:f>G294/F294</x:f>
        <x:v>0.0446168768186227</x:v>
      </x:c>
      <x:c r="L294" s="78" t="n">
        <x:f>IFERROR(H294/G294,0)</x:f>
        <x:v>0.10386473429951691</x:v>
      </x:c>
      <x:c r="M294" s="76" t="n">
        <x:f>IFERROR(E294/H294,0)</x:f>
        <x:v>0.8661627906976743</x:v>
      </x:c>
      <x:c r="N294" s="80" t="n">
        <x:f>IFERROR(J294/E294,0)</x:f>
        <x:v>55.38783729359646</x:v>
      </x:c>
    </x:row>
    <x:row r="295">
      <x:c r="A295" s="38" t="n">
        <x:v>46075</x:v>
      </x:c>
      <x:c r="B295" t="str">
        <x:v>2026-02</x:v>
      </x:c>
      <x:c r="C295" t="str">
        <x:v>Influencers</x:v>
      </x:c>
      <x:c r="D295" t="str">
        <x:v>Brand</x:v>
      </x:c>
      <x:c r="E295" s="76" t="n">
        <x:v>894.85</x:v>
      </x:c>
      <x:c r="F295" s="88" t="n">
        <x:v>42993</x:v>
      </x:c>
      <x:c r="G295" s="88" t="n">
        <x:v>557</x:v>
      </x:c>
      <x:c r="H295" s="88" t="n">
        <x:v>46</x:v>
      </x:c>
      <x:c r="I295" s="88" t="n">
        <x:v>6</x:v>
      </x:c>
      <x:c r="J295" s="76" t="n">
        <x:v>1896.63</x:v>
      </x:c>
      <x:c r="K295" s="78" t="n">
        <x:f>G295/F295</x:f>
        <x:v>0.012955597422836276</x:v>
      </x:c>
      <x:c r="L295" s="78" t="n">
        <x:f>IFERROR(H295/G295,0)</x:f>
        <x:v>0.08258527827648116</x:v>
      </x:c>
      <x:c r="M295" s="76" t="n">
        <x:f>IFERROR(E295/H295,0)</x:f>
        <x:v>19.453260869565216</x:v>
      </x:c>
      <x:c r="N295" s="80" t="n">
        <x:f>IFERROR(J295/E295,0)</x:f>
        <x:v>2.119494887411298</x:v>
      </x:c>
    </x:row>
    <x:row r="296">
      <x:c r="A296" s="38" t="n">
        <x:v>46201</x:v>
      </x:c>
      <x:c r="B296" t="str">
        <x:v>2026-06</x:v>
      </x:c>
      <x:c r="C296" t="str">
        <x:v>Influencers</x:v>
      </x:c>
      <x:c r="D296" t="str">
        <x:v>Lead Magnet</x:v>
      </x:c>
      <x:c r="E296" s="76" t="n">
        <x:v>1009.33</x:v>
      </x:c>
      <x:c r="F296" s="88" t="n">
        <x:v>57111</x:v>
      </x:c>
      <x:c r="G296" s="88" t="n">
        <x:v>352</x:v>
      </x:c>
      <x:c r="H296" s="88" t="n">
        <x:v>62</x:v>
      </x:c>
      <x:c r="I296" s="88" t="n">
        <x:v>8</x:v>
      </x:c>
      <x:c r="J296" s="76" t="n">
        <x:v>3491.16</x:v>
      </x:c>
      <x:c r="K296" s="78" t="n">
        <x:f>G296/F296</x:f>
        <x:v>0.006163436115634466</x:v>
      </x:c>
      <x:c r="L296" s="78" t="n">
        <x:f>IFERROR(H296/G296,0)</x:f>
        <x:v>0.17613636363636365</x:v>
      </x:c>
      <x:c r="M296" s="76" t="n">
        <x:f>IFERROR(E296/H296,0)</x:f>
        <x:v>16.27951612903226</x:v>
      </x:c>
      <x:c r="N296" s="80" t="n">
        <x:f>IFERROR(J296/E296,0)</x:f>
        <x:v>3.45888856964521</x:v>
      </x:c>
    </x:row>
    <x:row r="297">
      <x:c r="A297" s="38" t="n">
        <x:v>46044</x:v>
      </x:c>
      <x:c r="B297" t="str">
        <x:v>2026-01</x:v>
      </x:c>
      <x:c r="C297" t="str">
        <x:v>Influencers</x:v>
      </x:c>
      <x:c r="D297" t="str">
        <x:v>Retargeting</x:v>
      </x:c>
      <x:c r="E297" s="76" t="n">
        <x:v>834.75</x:v>
      </x:c>
      <x:c r="F297" s="88" t="n">
        <x:v>16556</x:v>
      </x:c>
      <x:c r="G297" s="88" t="n">
        <x:v>780</x:v>
      </x:c>
      <x:c r="H297" s="88" t="n">
        <x:v>79</x:v>
      </x:c>
      <x:c r="I297" s="88" t="n">
        <x:v>17</x:v>
      </x:c>
      <x:c r="J297" s="76" t="n">
        <x:v>5229.73</x:v>
      </x:c>
      <x:c r="K297" s="78" t="n">
        <x:f>G297/F297</x:f>
        <x:v>0.04711282918579367</x:v>
      </x:c>
      <x:c r="L297" s="78" t="n">
        <x:f>IFERROR(H297/G297,0)</x:f>
        <x:v>0.10128205128205128</x:v>
      </x:c>
      <x:c r="M297" s="76" t="n">
        <x:f>IFERROR(E297/H297,0)</x:f>
        <x:v>10.566455696202532</x:v>
      </x:c>
      <x:c r="N297" s="80" t="n">
        <x:f>IFERROR(J297/E297,0)</x:f>
        <x:v>6.26502545672357</x:v>
      </x:c>
    </x:row>
    <x:row r="298">
      <x:c r="A298" s="38" t="n">
        <x:v>46060</x:v>
      </x:c>
      <x:c r="B298" t="str">
        <x:v>2026-02</x:v>
      </x:c>
      <x:c r="C298" t="str">
        <x:v>Meta Ads</x:v>
      </x:c>
      <x:c r="D298" t="str">
        <x:v>Lead Magnet</x:v>
      </x:c>
      <x:c r="E298" s="76" t="n">
        <x:v>452.45</x:v>
      </x:c>
      <x:c r="F298" s="88" t="n">
        <x:v>67018</x:v>
      </x:c>
      <x:c r="G298" s="88" t="n">
        <x:v>796</x:v>
      </x:c>
      <x:c r="H298" s="88" t="n">
        <x:v>47</x:v>
      </x:c>
      <x:c r="I298" s="88" t="n">
        <x:v>6</x:v>
      </x:c>
      <x:c r="J298" s="76" t="n">
        <x:v>1958.85</x:v>
      </x:c>
      <x:c r="K298" s="78" t="n">
        <x:f>G298/F298</x:f>
        <x:v>0.011877406070011042</x:v>
      </x:c>
      <x:c r="L298" s="78" t="n">
        <x:f>IFERROR(H298/G298,0)</x:f>
        <x:v>0.059045226130653265</x:v>
      </x:c>
      <x:c r="M298" s="76" t="n">
        <x:f>IFERROR(E298/H298,0)</x:f>
        <x:v>9.62659574468085</x:v>
      </x:c>
      <x:c r="N298" s="80" t="n">
        <x:f>IFERROR(J298/E298,0)</x:f>
        <x:v>4.329428666150956</x:v>
      </x:c>
    </x:row>
    <x:row r="299">
      <x:c r="A299" s="38" t="n">
        <x:v>46161</x:v>
      </x:c>
      <x:c r="B299" t="str">
        <x:v>2026-05</x:v>
      </x:c>
      <x:c r="C299" t="str">
        <x:v>Email</x:v>
      </x:c>
      <x:c r="D299" t="str">
        <x:v>Launch</x:v>
      </x:c>
      <x:c r="E299" s="76" t="n">
        <x:v>13.71</x:v>
      </x:c>
      <x:c r="F299" s="88" t="n">
        <x:v>8669</x:v>
      </x:c>
      <x:c r="G299" s="88" t="n">
        <x:v>539</x:v>
      </x:c>
      <x:c r="H299" s="88" t="n">
        <x:v>95</x:v>
      </x:c>
      <x:c r="I299" s="88" t="n">
        <x:v>28</x:v>
      </x:c>
      <x:c r="J299" s="76" t="n">
        <x:v>8898.49</x:v>
      </x:c>
      <x:c r="K299" s="78" t="n">
        <x:f>G299/F299</x:f>
        <x:v>0.062175568116276385</x:v>
      </x:c>
      <x:c r="L299" s="78" t="n">
        <x:f>IFERROR(H299/G299,0)</x:f>
        <x:v>0.17625231910946196</x:v>
      </x:c>
      <x:c r="M299" s="76" t="n">
        <x:f>IFERROR(E299/H299,0)</x:f>
        <x:v>0.14431578947368423</x:v>
      </x:c>
      <x:c r="N299" s="80" t="n">
        <x:f>IFERROR(J299/E299,0)</x:f>
        <x:v>649.0510576221735</x:v>
      </x:c>
    </x:row>
    <x:row r="300">
      <x:c r="A300" s="38" t="n">
        <x:v>46171</x:v>
      </x:c>
      <x:c r="B300" t="str">
        <x:v>2026-05</x:v>
      </x:c>
      <x:c r="C300" t="str">
        <x:v>TikTok Ads</x:v>
      </x:c>
      <x:c r="D300" t="str">
        <x:v>Launch</x:v>
      </x:c>
      <x:c r="E300" s="76" t="n">
        <x:v>69.64</x:v>
      </x:c>
      <x:c r="F300" s="88" t="n">
        <x:v>51596</x:v>
      </x:c>
      <x:c r="G300" s="88" t="n">
        <x:v>1294</x:v>
      </x:c>
      <x:c r="H300" s="88" t="n">
        <x:v>114</x:v>
      </x:c>
      <x:c r="I300" s="88" t="n">
        <x:v>11</x:v>
      </x:c>
      <x:c r="J300" s="76" t="n">
        <x:v>3039.31</x:v>
      </x:c>
      <x:c r="K300" s="78" t="n">
        <x:f>G300/F300</x:f>
        <x:v>0.02507946352430421</x:v>
      </x:c>
      <x:c r="L300" s="78" t="n">
        <x:f>IFERROR(H300/G300,0)</x:f>
        <x:v>0.08809891808346214</x:v>
      </x:c>
      <x:c r="M300" s="76" t="n">
        <x:f>IFERROR(E300/H300,0)</x:f>
        <x:v>0.6108771929824561</x:v>
      </x:c>
      <x:c r="N300" s="80" t="n">
        <x:f>IFERROR(J300/E300,0)</x:f>
        <x:v>43.643164847788626</x:v>
      </x:c>
    </x:row>
    <x:row r="301">
      <x:c r="A301" s="38" t="n">
        <x:v>46044</x:v>
      </x:c>
      <x:c r="B301" t="str">
        <x:v>2026-01</x:v>
      </x:c>
      <x:c r="C301" t="str">
        <x:v>Meta Ads</x:v>
      </x:c>
      <x:c r="D301" t="str">
        <x:v>Launch</x:v>
      </x:c>
      <x:c r="E301" s="76" t="n">
        <x:v>545.11</x:v>
      </x:c>
      <x:c r="F301" s="88" t="n">
        <x:v>55073</x:v>
      </x:c>
      <x:c r="G301" s="88" t="n">
        <x:v>2680</x:v>
      </x:c>
      <x:c r="H301" s="88" t="n">
        <x:v>416</x:v>
      </x:c>
      <x:c r="I301" s="88" t="n">
        <x:v>106</x:v>
      </x:c>
      <x:c r="J301" s="76" t="n">
        <x:v>10153.24</x:v>
      </x:c>
      <x:c r="K301" s="78" t="n">
        <x:f>G301/F301</x:f>
        <x:v>0.0486626840738656</x:v>
      </x:c>
      <x:c r="L301" s="78" t="n">
        <x:f>IFERROR(H301/G301,0)</x:f>
        <x:v>0.15522388059701492</x:v>
      </x:c>
      <x:c r="M301" s="76" t="n">
        <x:f>IFERROR(E301/H301,0)</x:f>
        <x:v>1.310360576923077</x:v>
      </x:c>
      <x:c r="N301" s="80" t="n">
        <x:f>IFERROR(J301/E301,0)</x:f>
        <x:v>18.626038781163434</x:v>
      </x:c>
    </x:row>
    <x:row r="302">
      <x:c r="A302" s="38" t="n">
        <x:v>46082</x:v>
      </x:c>
      <x:c r="B302" t="str">
        <x:v>2026-03</x:v>
      </x:c>
      <x:c r="C302" t="str">
        <x:v>Influencers</x:v>
      </x:c>
      <x:c r="D302" t="str">
        <x:v>Launch</x:v>
      </x:c>
      <x:c r="E302" s="76" t="n">
        <x:v>1068.47</x:v>
      </x:c>
      <x:c r="F302" s="88" t="n">
        <x:v>33915</x:v>
      </x:c>
      <x:c r="G302" s="88" t="n">
        <x:v>1272</x:v>
      </x:c>
      <x:c r="H302" s="88" t="n">
        <x:v>187</x:v>
      </x:c>
      <x:c r="I302" s="88" t="n">
        <x:v>28</x:v>
      </x:c>
      <x:c r="J302" s="76" t="n">
        <x:v>6491.19</x:v>
      </x:c>
      <x:c r="K302" s="78" t="n">
        <x:f>G302/F302</x:f>
        <x:v>0.037505528527200356</x:v>
      </x:c>
      <x:c r="L302" s="78" t="n">
        <x:f>IFERROR(H302/G302,0)</x:f>
        <x:v>0.1470125786163522</x:v>
      </x:c>
      <x:c r="M302" s="76" t="n">
        <x:f>IFERROR(E302/H302,0)</x:f>
        <x:v>5.7137433155080215</x:v>
      </x:c>
      <x:c r="N302" s="80" t="n">
        <x:f>IFERROR(J302/E302,0)</x:f>
        <x:v>6.075219706683388</x:v>
      </x:c>
    </x:row>
    <x:row r="303">
      <x:c r="A303" s="38" t="n">
        <x:v>46035</x:v>
      </x:c>
      <x:c r="B303" t="str">
        <x:v>2026-01</x:v>
      </x:c>
      <x:c r="C303" t="str">
        <x:v>TikTok Ads</x:v>
      </x:c>
      <x:c r="D303" t="str">
        <x:v>Brand</x:v>
      </x:c>
      <x:c r="E303" s="76" t="n">
        <x:v>142.43</x:v>
      </x:c>
      <x:c r="F303" s="88" t="n">
        <x:v>15633</x:v>
      </x:c>
      <x:c r="G303" s="88" t="n">
        <x:v>258</x:v>
      </x:c>
      <x:c r="H303" s="88" t="n">
        <x:v>20</x:v>
      </x:c>
      <x:c r="I303" s="88" t="n">
        <x:v>4</x:v>
      </x:c>
      <x:c r="J303" s="76" t="n">
        <x:v>1315.09</x:v>
      </x:c>
      <x:c r="K303" s="78" t="n">
        <x:f>G303/F303</x:f>
        <x:v>0.016503550182306658</x:v>
      </x:c>
      <x:c r="L303" s="78" t="n">
        <x:f>IFERROR(H303/G303,0)</x:f>
        <x:v>0.07751937984496124</x:v>
      </x:c>
      <x:c r="M303" s="76" t="n">
        <x:f>IFERROR(E303/H303,0)</x:f>
        <x:v>7.1215</x:v>
      </x:c>
      <x:c r="N303" s="80" t="n">
        <x:f>IFERROR(J303/E303,0)</x:f>
        <x:v>9.233237379765498</x:v>
      </x:c>
    </x:row>
    <x:row r="304">
      <x:c r="A304" s="38" t="n">
        <x:v>46053</x:v>
      </x:c>
      <x:c r="B304" t="str">
        <x:v>2026-01</x:v>
      </x:c>
      <x:c r="C304" t="str">
        <x:v>Meta Ads</x:v>
      </x:c>
      <x:c r="D304" t="str">
        <x:v>Retargeting</x:v>
      </x:c>
      <x:c r="E304" s="76" t="n">
        <x:v>738.03</x:v>
      </x:c>
      <x:c r="F304" s="88" t="n">
        <x:v>23818</x:v>
      </x:c>
      <x:c r="G304" s="88" t="n">
        <x:v>364</x:v>
      </x:c>
      <x:c r="H304" s="88" t="n">
        <x:v>10</x:v>
      </x:c>
      <x:c r="I304" s="88" t="n">
        <x:v>2</x:v>
      </x:c>
      <x:c r="J304" s="76" t="n">
        <x:v>360.35</x:v>
      </x:c>
      <x:c r="K304" s="78" t="n">
        <x:f>G304/F304</x:f>
        <x:v>0.01528255940885045</x:v>
      </x:c>
      <x:c r="L304" s="78" t="n">
        <x:f>IFERROR(H304/G304,0)</x:f>
        <x:v>0.027472527472527472</x:v>
      </x:c>
      <x:c r="M304" s="76" t="n">
        <x:f>IFERROR(E304/H304,0)</x:f>
        <x:v>73.803</x:v>
      </x:c>
      <x:c r="N304" s="80" t="n">
        <x:f>IFERROR(J304/E304,0)</x:f>
        <x:v>0.4882592848529193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fb4398b11f3b41f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7" max="7" width="14" hidden="0" customWidth="1"/>
    <x:col min="8" max="8" width="14" hidden="0" customWidth="1"/>
    <x:col min="9" max="9" width="14" hidden="0" customWidth="1"/>
    <x:col min="6" max="6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8" customHeight="1">
      <x:c r="A1" s="5" t="str">
        <x:v>Case 4 — Marketing Performance Dashboard</x:v>
      </x:c>
    </x:row>
    <x:row r="2" ht="34" customHeight="1">
      <x:c r="A2" s="12" t="str">
        <x:v>Ad spend, revenue, leads, CPA, ROAS and channel efficiency.</x:v>
      </x:c>
    </x:row>
    <x:row r="4">
      <x:c r="A4" s="46" t="str">
        <x:v>Ad spend</x:v>
      </x:c>
      <x:c r="B4" s="24"/>
      <x:c r="C4" s="46" t="str">
        <x:v>Revenue</x:v>
      </x:c>
      <x:c r="D4" s="24"/>
      <x:c r="E4" s="46" t="str">
        <x:v>Leads</x:v>
      </x:c>
      <x:c r="F4" s="24"/>
      <x:c r="G4" s="46" t="str">
        <x:v>Sales</x:v>
      </x:c>
      <x:c r="H4" s="24"/>
      <x:c r="I4" s="46" t="str">
        <x:v>CPA</x:v>
      </x:c>
      <x:c r="J4" s="24"/>
      <x:c r="K4" s="46" t="str">
        <x:v>ROAS</x:v>
      </x:c>
      <x:c r="L4" s="24"/>
    </x:row>
    <x:row r="5">
      <x:c r="A5" s="106" t="n">
        <x:f>SUM(Marketing_Raw!E5:E304)</x:f>
        <x:v>121670.45999999996</x:v>
      </x:c>
      <x:c r="B5" s="24"/>
      <x:c r="C5" s="106" t="n">
        <x:f>SUM(Marketing_Raw!J5:J304)</x:f>
        <x:v>2670030.9700000007</x:v>
      </x:c>
      <x:c r="D5" s="24"/>
      <x:c r="E5" s="94" t="n">
        <x:f>SUM(Marketing_Raw!H5:H304)</x:f>
        <x:v>51206</x:v>
      </x:c>
      <x:c r="F5" s="24"/>
      <x:c r="G5" s="94" t="n">
        <x:f>SUM(Marketing_Raw!I5:I304)</x:f>
        <x:v>10822</x:v>
      </x:c>
      <x:c r="H5" s="24"/>
      <x:c r="I5" s="102" t="n">
        <x:f>SUM(Marketing_Raw!E5:E304)/SUM(Marketing_Raw!H5:H304)</x:f>
        <x:v>2.3760977229230944</x:v>
      </x:c>
      <x:c r="J5" s="24"/>
      <x:c r="K5" s="103" t="n">
        <x:f>SUM(Marketing_Raw!J5:J304)/SUM(Marketing_Raw!E5:E304)</x:f>
        <x:v>21.944775831372723</x:v>
      </x:c>
      <x:c r="L5" s="24"/>
    </x:row>
    <x:row r="8">
      <x:c r="A8" s="32" t="str">
        <x:v>Channel</x:v>
      </x:c>
      <x:c r="B8" s="32" t="str">
        <x:v>Spend</x:v>
      </x:c>
      <x:c r="C8" s="32" t="str">
        <x:v>Revenue</x:v>
      </x:c>
      <x:c r="D8" s="32" t="str">
        <x:v>Leads</x:v>
      </x:c>
      <x:c r="E8" s="32" t="str">
        <x:v>ROAS</x:v>
      </x:c>
      <x:c r="G8" s="32" t="str">
        <x:v>Month</x:v>
      </x:c>
      <x:c r="H8" s="32" t="str">
        <x:v>Spend</x:v>
      </x:c>
      <x:c r="I8" s="32" t="str">
        <x:v>Revenue</x:v>
      </x:c>
    </x:row>
    <x:row r="9">
      <x:c r="A9" t="str">
        <x:v>Google Ads</x:v>
      </x:c>
      <x:c r="B9" s="86" t="n">
        <x:f>SUMIF(Marketing_Raw!$C$5:$C$304,A9,Marketing_Raw!$E$5:$E$304)</x:f>
        <x:v>22734.000000000004</x:v>
      </x:c>
      <x:c r="C9" s="86" t="n">
        <x:f>SUMIF(Marketing_Raw!$C$5:$C$304,A9,Marketing_Raw!$J$5:$J$304)</x:f>
        <x:v>434312.16999999987</x:v>
      </x:c>
      <x:c r="D9" s="92" t="n">
        <x:f>SUMIF(Marketing_Raw!$C$5:$C$304,A9,Marketing_Raw!$H$5:$H$304)</x:f>
        <x:v>7771</x:v>
      </x:c>
      <x:c r="E9" s="80" t="n">
        <x:f>IFERROR(C9/B9,0)</x:f>
        <x:v>19.104080672121043</x:v>
      </x:c>
      <x:c r="G9" t="str">
        <x:v>2026-01</x:v>
      </x:c>
      <x:c r="H9" s="86" t="n">
        <x:f>SUMIF(Marketing_Raw!$B$5:$B$304,G9,Marketing_Raw!$E$5:$E$304)</x:f>
        <x:v>18386.71</x:v>
      </x:c>
      <x:c r="I9" s="86" t="n">
        <x:f>SUMIF(Marketing_Raw!$B$5:$B$304,G9,Marketing_Raw!$J$5:$J$304)</x:f>
        <x:v>417425.0999999999</x:v>
      </x:c>
    </x:row>
    <x:row r="10">
      <x:c r="A10" t="str">
        <x:v>Meta Ads</x:v>
      </x:c>
      <x:c r="B10" s="86" t="n">
        <x:f>SUMIF(Marketing_Raw!$C$5:$C$304,A10,Marketing_Raw!$E$5:$E$304)</x:f>
        <x:v>26626.83</x:v>
      </x:c>
      <x:c r="C10" s="86" t="n">
        <x:f>SUMIF(Marketing_Raw!$C$5:$C$304,A10,Marketing_Raw!$J$5:$J$304)</x:f>
        <x:v>413589.50000000006</x:v>
      </x:c>
      <x:c r="D10" s="92" t="n">
        <x:f>SUMIF(Marketing_Raw!$C$5:$C$304,A10,Marketing_Raw!$H$5:$H$304)</x:f>
        <x:v>9314</x:v>
      </x:c>
      <x:c r="E10" s="80" t="n">
        <x:f>IFERROR(C10/B10,0)</x:f>
        <x:v>15.532810327027288</x:v>
      </x:c>
      <x:c r="G10" t="str">
        <x:v>2026-02</x:v>
      </x:c>
      <x:c r="H10" s="86" t="n">
        <x:f>SUMIF(Marketing_Raw!$B$5:$B$304,G10,Marketing_Raw!$E$5:$E$304)</x:f>
        <x:v>16333.97</x:v>
      </x:c>
      <x:c r="I10" s="86" t="n">
        <x:f>SUMIF(Marketing_Raw!$B$5:$B$304,G10,Marketing_Raw!$J$5:$J$304)</x:f>
        <x:v>321497.75999999995</x:v>
      </x:c>
    </x:row>
    <x:row r="11">
      <x:c r="A11" t="str">
        <x:v>TikTok Ads</x:v>
      </x:c>
      <x:c r="B11" s="86" t="n">
        <x:f>SUMIF(Marketing_Raw!$C$5:$C$304,A11,Marketing_Raw!$E$5:$E$304)</x:f>
        <x:v>26895.140000000007</x:v>
      </x:c>
      <x:c r="C11" s="86" t="n">
        <x:f>SUMIF(Marketing_Raw!$C$5:$C$304,A11,Marketing_Raw!$J$5:$J$304)</x:f>
        <x:v>373179.29999999993</x:v>
      </x:c>
      <x:c r="D11" s="92" t="n">
        <x:f>SUMIF(Marketing_Raw!$C$5:$C$304,A11,Marketing_Raw!$H$5:$H$304)</x:f>
        <x:v>6830</x:v>
      </x:c>
      <x:c r="E11" s="80" t="n">
        <x:f>IFERROR(C11/B11,0)</x:f>
        <x:v>13.875343277633053</x:v>
      </x:c>
      <x:c r="G11" t="str">
        <x:v>2026-03</x:v>
      </x:c>
      <x:c r="H11" s="86" t="n">
        <x:f>SUMIF(Marketing_Raw!$B$5:$B$304,G11,Marketing_Raw!$E$5:$E$304)</x:f>
        <x:v>22470.38</x:v>
      </x:c>
      <x:c r="I11" s="86" t="n">
        <x:f>SUMIF(Marketing_Raw!$B$5:$B$304,G11,Marketing_Raw!$J$5:$J$304)</x:f>
        <x:v>509028.27000000014</x:v>
      </x:c>
    </x:row>
    <x:row r="12">
      <x:c r="A12" t="str">
        <x:v>Organic Search</x:v>
      </x:c>
      <x:c r="B12" s="86" t="n">
        <x:f>SUMIF(Marketing_Raw!$C$5:$C$304,A12,Marketing_Raw!$E$5:$E$304)</x:f>
        <x:v>5002.760000000003</x:v>
      </x:c>
      <x:c r="C12" s="86" t="n">
        <x:f>SUMIF(Marketing_Raw!$C$5:$C$304,A12,Marketing_Raw!$J$5:$J$304)</x:f>
        <x:v>455779.85</x:v>
      </x:c>
      <x:c r="D12" s="92" t="n">
        <x:f>SUMIF(Marketing_Raw!$C$5:$C$304,A12,Marketing_Raw!$H$5:$H$304)</x:f>
        <x:v>9460</x:v>
      </x:c>
      <x:c r="E12" s="80" t="n">
        <x:f>IFERROR(C12/B12,0)</x:f>
        <x:v>91.10567966482496</x:v>
      </x:c>
      <x:c r="G12" t="str">
        <x:v>2026-04</x:v>
      </x:c>
      <x:c r="H12" s="86" t="n">
        <x:f>SUMIF(Marketing_Raw!$B$5:$B$304,G12,Marketing_Raw!$E$5:$E$304)</x:f>
        <x:v>17460.729999999996</x:v>
      </x:c>
      <x:c r="I12" s="86" t="n">
        <x:f>SUMIF(Marketing_Raw!$B$5:$B$304,G12,Marketing_Raw!$J$5:$J$304)</x:f>
        <x:v>422574.8900000001</x:v>
      </x:c>
    </x:row>
    <x:row r="13">
      <x:c r="A13" t="str">
        <x:v>Email</x:v>
      </x:c>
      <x:c r="B13" s="86" t="n">
        <x:f>SUMIF(Marketing_Raw!$C$5:$C$304,A13,Marketing_Raw!$E$5:$E$304)</x:f>
        <x:v>5230.029999999999</x:v>
      </x:c>
      <x:c r="C13" s="86" t="n">
        <x:f>SUMIF(Marketing_Raw!$C$5:$C$304,A13,Marketing_Raw!$J$5:$J$304)</x:f>
        <x:v>469447.3900000001</x:v>
      </x:c>
      <x:c r="D13" s="92" t="n">
        <x:f>SUMIF(Marketing_Raw!$C$5:$C$304,A13,Marketing_Raw!$H$5:$H$304)</x:f>
        <x:v>9055</x:v>
      </x:c>
      <x:c r="E13" s="80" t="n">
        <x:f>IFERROR(C13/B13,0)</x:f>
        <x:v>89.75998034428105</x:v>
      </x:c>
      <x:c r="G13" t="str">
        <x:v>2026-05</x:v>
      </x:c>
      <x:c r="H13" s="86" t="n">
        <x:f>SUMIF(Marketing_Raw!$B$5:$B$304,G13,Marketing_Raw!$E$5:$E$304)</x:f>
        <x:v>27419.95</x:v>
      </x:c>
      <x:c r="I13" s="86" t="n">
        <x:f>SUMIF(Marketing_Raw!$B$5:$B$304,G13,Marketing_Raw!$J$5:$J$304)</x:f>
        <x:v>625323.0900000001</x:v>
      </x:c>
    </x:row>
    <x:row r="14">
      <x:c r="A14" t="str">
        <x:v>Influencers</x:v>
      </x:c>
      <x:c r="B14" s="86" t="n">
        <x:f>SUMIF(Marketing_Raw!$C$5:$C$304,A14,Marketing_Raw!$E$5:$E$304)</x:f>
        <x:v>35181.7</x:v>
      </x:c>
      <x:c r="C14" s="86" t="n">
        <x:f>SUMIF(Marketing_Raw!$C$5:$C$304,A14,Marketing_Raw!$J$5:$J$304)</x:f>
        <x:v>523722.75999999983</x:v>
      </x:c>
      <x:c r="D14" s="92" t="n">
        <x:f>SUMIF(Marketing_Raw!$C$5:$C$304,A14,Marketing_Raw!$H$5:$H$304)</x:f>
        <x:v>8776</x:v>
      </x:c>
      <x:c r="E14" s="80" t="n">
        <x:f>IFERROR(C14/B14,0)</x:f>
        <x:v>14.886226646239377</x:v>
      </x:c>
      <x:c r="G14" t="str">
        <x:v>2026-06</x:v>
      </x:c>
      <x:c r="H14" s="86" t="n">
        <x:f>SUMIF(Marketing_Raw!$B$5:$B$304,G14,Marketing_Raw!$E$5:$E$304)</x:f>
        <x:v>19598.720000000005</x:v>
      </x:c>
      <x:c r="I14" s="86" t="n">
        <x:f>SUMIF(Marketing_Raw!$B$5:$B$304,G14,Marketing_Raw!$J$5:$J$304)</x:f>
        <x:v>374181.85999999987</x:v>
      </x:c>
    </x:row>
    <x:row r="15">
      <x:c r="B15" s="86"/>
      <x:c r="C15" s="86"/>
      <x:c r="D15" s="92"/>
      <x:c r="E15" s="80"/>
      <x:c r="H15" s="86"/>
      <x:c r="I15" s="86"/>
    </x:row>
    <x:row r="16">
      <x:c r="B16" s="86"/>
      <x:c r="C16" s="86"/>
      <x:c r="D16" s="92"/>
      <x:c r="E16" s="80"/>
      <x:c r="H16" s="86"/>
      <x:c r="I16" s="86"/>
    </x:row>
    <x:row r="17">
      <x:c r="B17" s="86"/>
      <x:c r="C17" s="86"/>
      <x:c r="D17" s="92"/>
      <x:c r="E17" s="80"/>
      <x:c r="H17" s="86"/>
      <x:c r="I17" s="86"/>
    </x:row>
    <x:row r="18">
      <x:c r="B18" s="86"/>
      <x:c r="C18" s="86"/>
      <x:c r="D18" s="92"/>
      <x:c r="E18" s="80"/>
      <x:c r="H18" s="86"/>
      <x:c r="I18" s="86"/>
    </x:row>
    <x:row r="19">
      <x:c r="B19" s="86"/>
      <x:c r="C19" s="86"/>
      <x:c r="D19" s="92"/>
      <x:c r="E19" s="80"/>
      <x:c r="H19" s="86"/>
      <x:c r="I19" s="86"/>
    </x:row>
    <x:row r="20">
      <x:c r="B20" s="86"/>
      <x:c r="C20" s="86"/>
      <x:c r="D20" s="92"/>
      <x:c r="E20" s="80"/>
      <x:c r="H20" s="86"/>
      <x:c r="I20" s="86"/>
    </x:row>
    <x:row r="21">
      <x:c r="B21" s="86"/>
      <x:c r="C21" s="86"/>
      <x:c r="D21" s="92"/>
      <x:c r="E21" s="80"/>
      <x:c r="H21" s="86"/>
      <x:c r="I21" s="86"/>
    </x:row>
    <x:row r="22">
      <x:c r="B22" s="86"/>
      <x:c r="C22" s="86"/>
      <x:c r="D22" s="92"/>
      <x:c r="E22" s="80"/>
      <x:c r="H22" s="86"/>
      <x:c r="I22" s="86"/>
    </x:row>
    <x:row r="23">
      <x:c r="B23" s="86"/>
      <x:c r="C23" s="86"/>
      <x:c r="D23" s="92"/>
      <x:c r="E23" s="80"/>
      <x:c r="H23" s="86"/>
      <x:c r="I23" s="86"/>
    </x:row>
    <x:row r="24">
      <x:c r="B24" s="86"/>
      <x:c r="C24" s="86"/>
      <x:c r="D24" s="92"/>
      <x:c r="E24" s="80"/>
      <x:c r="H24" s="86"/>
      <x:c r="I24" s="86"/>
    </x:row>
    <x:row r="25">
      <x:c r="B25" s="86"/>
      <x:c r="C25" s="86"/>
      <x:c r="D25" s="92"/>
      <x:c r="E25" s="80"/>
      <x:c r="H25" s="86"/>
      <x:c r="I25" s="86"/>
    </x:row>
    <x:row r="26">
      <x:c r="B26" s="86"/>
      <x:c r="C26" s="86"/>
      <x:c r="D26" s="92"/>
      <x:c r="E26" s="80"/>
      <x:c r="H26" s="86"/>
      <x:c r="I26" s="86"/>
    </x:row>
    <x:row r="27">
      <x:c r="B27" s="86"/>
      <x:c r="C27" s="86"/>
      <x:c r="D27" s="92"/>
      <x:c r="E27" s="80"/>
      <x:c r="H27" s="86"/>
      <x:c r="I27" s="86"/>
    </x:row>
    <x:row r="28">
      <x:c r="B28" s="86"/>
      <x:c r="C28" s="86"/>
      <x:c r="D28" s="92"/>
      <x:c r="E28" s="80"/>
      <x:c r="H28" s="86"/>
      <x:c r="I28" s="86"/>
    </x:row>
    <x:row r="29">
      <x:c r="B29" s="86"/>
      <x:c r="C29" s="86"/>
      <x:c r="D29" s="92"/>
      <x:c r="E29" s="80"/>
      <x:c r="H29" s="86"/>
      <x:c r="I29" s="86"/>
    </x:row>
    <x:row r="30">
      <x:c r="B30" s="86"/>
      <x:c r="C30" s="86"/>
      <x:c r="D30" s="92"/>
      <x:c r="E30" s="80"/>
      <x:c r="H30" s="86"/>
      <x:c r="I30" s="86"/>
    </x:row>
  </x:sheetData>
  <x:mergeCells>
    <x:mergeCell ref="A1:L1"/>
    <x:mergeCell ref="A2:L2"/>
    <x:mergeCell ref="A4:B4"/>
    <x:mergeCell ref="A5:B5"/>
    <x:mergeCell ref="C4:D4"/>
    <x:mergeCell ref="C5:D5"/>
    <x:mergeCell ref="E4:F4"/>
    <x:mergeCell ref="E5:F5"/>
    <x:mergeCell ref="G4:H4"/>
    <x:mergeCell ref="G5:H5"/>
    <x:mergeCell ref="I4:J4"/>
    <x:mergeCell ref="I5:J5"/>
    <x:mergeCell ref="K4:L4"/>
    <x:mergeCell ref="K5:L5"/>
  </x:mergeCells>
  <x:pageMargins left="0.7" right="0.7" top="0.75" bottom="0.75" header="0.3" footer="0.3"/>
  <x:drawing xmlns:r="http://schemas.openxmlformats.org/officeDocument/2006/relationships" r:id="Ra629486b1a8c45d9"/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2" hidden="0" customWidth="1"/>
    <x:col min="5" max="5" width="12" hidden="0" customWidth="1"/>
    <x:col min="6" max="6" width="14" hidden="0" customWidth="1"/>
  </x:cols>
  <x:sheetData>
    <x:row r="1" ht="28" customHeight="1">
      <x:c r="A1" s="5" t="str">
        <x:v>Case 5 — Mini CRM Clients</x:v>
      </x:c>
    </x:row>
    <x:row r="2" ht="34" customHeight="1">
      <x:c r="A2" s="12" t="str">
        <x:v>Client master data for lightweight CRM tracker.</x:v>
      </x:c>
    </x:row>
    <x:row r="4">
      <x:c r="A4" s="32" t="str">
        <x:v>Client ID</x:v>
      </x:c>
      <x:c r="B4" s="32" t="str">
        <x:v>Client Name</x:v>
      </x:c>
      <x:c r="C4" s="32" t="str">
        <x:v>Industry</x:v>
      </x:c>
      <x:c r="D4" s="32" t="str">
        <x:v>Status</x:v>
      </x:c>
      <x:c r="E4" s="32" t="str">
        <x:v>Owner</x:v>
      </x:c>
      <x:c r="F4" s="32" t="str">
        <x:v>Created Date</x:v>
      </x:c>
    </x:row>
    <x:row r="5">
      <x:c r="A5" t="str">
        <x:v>C-1001</x:v>
      </x:c>
      <x:c r="B5" t="str">
        <x:v>Travelio 1</x:v>
      </x:c>
      <x:c r="C5" t="str">
        <x:v>Finance</x:v>
      </x:c>
      <x:c r="D5" t="str">
        <x:v>Paused</x:v>
      </x:c>
      <x:c r="E5" t="str">
        <x:v>Olga</x:v>
      </x:c>
      <x:c r="F5" s="38" t="n">
        <x:v>46143</x:v>
      </x:c>
    </x:row>
    <x:row r="6">
      <x:c r="A6" t="str">
        <x:v>C-1002</x:v>
      </x:c>
      <x:c r="B6" t="str">
        <x:v>Nord Studio 2</x:v>
      </x:c>
      <x:c r="C6" t="str">
        <x:v>Healthcare</x:v>
      </x:c>
      <x:c r="D6" t="str">
        <x:v>Paused</x:v>
      </x:c>
      <x:c r="E6" t="str">
        <x:v>Olga</x:v>
      </x:c>
      <x:c r="F6" s="38" t="n">
        <x:v>46153</x:v>
      </x:c>
    </x:row>
    <x:row r="7">
      <x:c r="A7" t="str">
        <x:v>C-1003</x:v>
      </x:c>
      <x:c r="B7" t="str">
        <x:v>Travelio 3</x:v>
      </x:c>
      <x:c r="C7" t="str">
        <x:v>Healthcare</x:v>
      </x:c>
      <x:c r="D7" t="str">
        <x:v>Paused</x:v>
      </x:c>
      <x:c r="E7" t="str">
        <x:v>Olga</x:v>
      </x:c>
      <x:c r="F7" s="38" t="n">
        <x:v>46092</x:v>
      </x:c>
    </x:row>
    <x:row r="8">
      <x:c r="A8" t="str">
        <x:v>C-1004</x:v>
      </x:c>
      <x:c r="B8" t="str">
        <x:v>RealEstate Pro 4</x:v>
      </x:c>
      <x:c r="C8" t="str">
        <x:v>Healthcare</x:v>
      </x:c>
      <x:c r="D8" t="str">
        <x:v>Paused</x:v>
      </x:c>
      <x:c r="E8" t="str">
        <x:v>Olga</x:v>
      </x:c>
      <x:c r="F8" s="38" t="n">
        <x:v>46142</x:v>
      </x:c>
    </x:row>
    <x:row r="9">
      <x:c r="A9" t="str">
        <x:v>C-1005</x:v>
      </x:c>
      <x:c r="B9" t="str">
        <x:v>FitLife 5</x:v>
      </x:c>
      <x:c r="C9" t="str">
        <x:v>Real Estate</x:v>
      </x:c>
      <x:c r="D9" t="str">
        <x:v>Paused</x:v>
      </x:c>
      <x:c r="E9" t="str">
        <x:v>Elena</x:v>
      </x:c>
      <x:c r="F9" s="38" t="n">
        <x:v>46139</x:v>
      </x:c>
    </x:row>
    <x:row r="10">
      <x:c r="A10" t="str">
        <x:v>C-1006</x:v>
      </x:c>
      <x:c r="B10" t="str">
        <x:v>RealEstate Pro 6</x:v>
      </x:c>
      <x:c r="C10" t="str">
        <x:v>Retail</x:v>
      </x:c>
      <x:c r="D10" t="str">
        <x:v>Lead</x:v>
      </x:c>
      <x:c r="E10" t="str">
        <x:v>Anna</x:v>
      </x:c>
      <x:c r="F10" s="38" t="n">
        <x:v>46153</x:v>
      </x:c>
    </x:row>
    <x:row r="11">
      <x:c r="A11" t="str">
        <x:v>C-1007</x:v>
      </x:c>
      <x:c r="B11" t="str">
        <x:v>FinCraft 7</x:v>
      </x:c>
      <x:c r="C11" t="str">
        <x:v>Retail</x:v>
      </x:c>
      <x:c r="D11" t="str">
        <x:v>Paused</x:v>
      </x:c>
      <x:c r="E11" t="str">
        <x:v>Elena</x:v>
      </x:c>
      <x:c r="F11" s="38" t="n">
        <x:v>46037</x:v>
      </x:c>
    </x:row>
    <x:row r="12">
      <x:c r="A12" t="str">
        <x:v>C-1008</x:v>
      </x:c>
      <x:c r="B12" t="str">
        <x:v>FinCraft 8</x:v>
      </x:c>
      <x:c r="C12" t="str">
        <x:v>Finance</x:v>
      </x:c>
      <x:c r="D12" t="str">
        <x:v>Churned</x:v>
      </x:c>
      <x:c r="E12" t="str">
        <x:v>Maria</x:v>
      </x:c>
      <x:c r="F12" s="38" t="n">
        <x:v>46127</x:v>
      </x:c>
    </x:row>
    <x:row r="13">
      <x:c r="A13" t="str">
        <x:v>C-1009</x:v>
      </x:c>
      <x:c r="B13" t="str">
        <x:v>Baltic Retail 9</x:v>
      </x:c>
      <x:c r="C13" t="str">
        <x:v>Legal</x:v>
      </x:c>
      <x:c r="D13" t="str">
        <x:v>Lead</x:v>
      </x:c>
      <x:c r="E13" t="str">
        <x:v>Maria</x:v>
      </x:c>
      <x:c r="F13" s="38" t="n">
        <x:v>46049</x:v>
      </x:c>
    </x:row>
    <x:row r="14">
      <x:c r="A14" t="str">
        <x:v>C-1010</x:v>
      </x:c>
      <x:c r="B14" t="str">
        <x:v>BeautyLab 10</x:v>
      </x:c>
      <x:c r="C14" t="str">
        <x:v>Legal</x:v>
      </x:c>
      <x:c r="D14" t="str">
        <x:v>Active</x:v>
      </x:c>
      <x:c r="E14" t="str">
        <x:v>Elena</x:v>
      </x:c>
      <x:c r="F14" s="38" t="n">
        <x:v>46135</x:v>
      </x:c>
    </x:row>
    <x:row r="15">
      <x:c r="A15" t="str">
        <x:v>C-1011</x:v>
      </x:c>
      <x:c r="B15" t="str">
        <x:v>CloudNine 11</x:v>
      </x:c>
      <x:c r="C15" t="str">
        <x:v>Finance</x:v>
      </x:c>
      <x:c r="D15" t="str">
        <x:v>Paused</x:v>
      </x:c>
      <x:c r="E15" t="str">
        <x:v>Maria</x:v>
      </x:c>
      <x:c r="F15" s="38" t="n">
        <x:v>46153</x:v>
      </x:c>
    </x:row>
    <x:row r="16">
      <x:c r="A16" t="str">
        <x:v>C-1012</x:v>
      </x:c>
      <x:c r="B16" t="str">
        <x:v>FoodBox 12</x:v>
      </x:c>
      <x:c r="C16" t="str">
        <x:v>Retail</x:v>
      </x:c>
      <x:c r="D16" t="str">
        <x:v>Lead</x:v>
      </x:c>
      <x:c r="E16" t="str">
        <x:v>Elena</x:v>
      </x:c>
      <x:c r="F16" s="38" t="n">
        <x:v>46065</x:v>
      </x:c>
    </x:row>
    <x:row r="17">
      <x:c r="A17" t="str">
        <x:v>C-1013</x:v>
      </x:c>
      <x:c r="B17" t="str">
        <x:v>Northwind 13</x:v>
      </x:c>
      <x:c r="C17" t="str">
        <x:v>Education</x:v>
      </x:c>
      <x:c r="D17" t="str">
        <x:v>Churned</x:v>
      </x:c>
      <x:c r="E17" t="str">
        <x:v>Maria</x:v>
      </x:c>
      <x:c r="F17" s="38" t="n">
        <x:v>46026</x:v>
      </x:c>
    </x:row>
    <x:row r="18">
      <x:c r="A18" t="str">
        <x:v>C-1014</x:v>
      </x:c>
      <x:c r="B18" t="str">
        <x:v>CloudNine 14</x:v>
      </x:c>
      <x:c r="C18" t="str">
        <x:v>Marketing</x:v>
      </x:c>
      <x:c r="D18" t="str">
        <x:v>Churned</x:v>
      </x:c>
      <x:c r="E18" t="str">
        <x:v>Elena</x:v>
      </x:c>
      <x:c r="F18" s="38" t="n">
        <x:v>46058</x:v>
      </x:c>
    </x:row>
    <x:row r="19">
      <x:c r="A19" t="str">
        <x:v>C-1015</x:v>
      </x:c>
      <x:c r="B19" t="str">
        <x:v>GreenHome 15</x:v>
      </x:c>
      <x:c r="C19" t="str">
        <x:v>Real Estate</x:v>
      </x:c>
      <x:c r="D19" t="str">
        <x:v>Lead</x:v>
      </x:c>
      <x:c r="E19" t="str">
        <x:v>Anna</x:v>
      </x:c>
      <x:c r="F19" s="38" t="n">
        <x:v>46132</x:v>
      </x:c>
    </x:row>
    <x:row r="20">
      <x:c r="A20" t="str">
        <x:v>C-1016</x:v>
      </x:c>
      <x:c r="B20" t="str">
        <x:v>BrightLabs 16</x:v>
      </x:c>
      <x:c r="C20" t="str">
        <x:v>SaaS</x:v>
      </x:c>
      <x:c r="D20" t="str">
        <x:v>Lead</x:v>
      </x:c>
      <x:c r="E20" t="str">
        <x:v>Maria</x:v>
      </x:c>
      <x:c r="F20" s="38" t="n">
        <x:v>46054</x:v>
      </x:c>
    </x:row>
    <x:row r="21">
      <x:c r="A21" t="str">
        <x:v>C-1017</x:v>
      </x:c>
      <x:c r="B21" t="str">
        <x:v>Baltic Retail 17</x:v>
      </x:c>
      <x:c r="C21" t="str">
        <x:v>SaaS</x:v>
      </x:c>
      <x:c r="D21" t="str">
        <x:v>Churned</x:v>
      </x:c>
      <x:c r="E21" t="str">
        <x:v>Olga</x:v>
      </x:c>
      <x:c r="F21" s="38" t="n">
        <x:v>46047</x:v>
      </x:c>
    </x:row>
    <x:row r="22">
      <x:c r="A22" t="str">
        <x:v>C-1018</x:v>
      </x:c>
      <x:c r="B22" t="str">
        <x:v>Nord Studio 18</x:v>
      </x:c>
      <x:c r="C22" t="str">
        <x:v>Marketing</x:v>
      </x:c>
      <x:c r="D22" t="str">
        <x:v>Paused</x:v>
      </x:c>
      <x:c r="E22" t="str">
        <x:v>Olga</x:v>
      </x:c>
      <x:c r="F22" s="38" t="n">
        <x:v>46125</x:v>
      </x:c>
    </x:row>
    <x:row r="23">
      <x:c r="A23" t="str">
        <x:v>C-1019</x:v>
      </x:c>
      <x:c r="B23" t="str">
        <x:v>LogiTrans 19</x:v>
      </x:c>
      <x:c r="C23" t="str">
        <x:v>Legal</x:v>
      </x:c>
      <x:c r="D23" t="str">
        <x:v>Churned</x:v>
      </x:c>
      <x:c r="E23" t="str">
        <x:v>Maria</x:v>
      </x:c>
      <x:c r="F23" s="38" t="n">
        <x:v>46072</x:v>
      </x:c>
    </x:row>
    <x:row r="24">
      <x:c r="A24" t="str">
        <x:v>C-1020</x:v>
      </x:c>
      <x:c r="B24" t="str">
        <x:v>AutoFix 20</x:v>
      </x:c>
      <x:c r="C24" t="str">
        <x:v>Retail</x:v>
      </x:c>
      <x:c r="D24" t="str">
        <x:v>Paused</x:v>
      </x:c>
      <x:c r="E24" t="str">
        <x:v>Maria</x:v>
      </x:c>
      <x:c r="F24" s="38" t="n">
        <x:v>46083</x:v>
      </x:c>
    </x:row>
    <x:row r="25">
      <x:c r="A25" t="str">
        <x:v>C-1021</x:v>
      </x:c>
      <x:c r="B25" t="str">
        <x:v>BrightLabs 21</x:v>
      </x:c>
      <x:c r="C25" t="str">
        <x:v>SaaS</x:v>
      </x:c>
      <x:c r="D25" t="str">
        <x:v>Lead</x:v>
      </x:c>
      <x:c r="E25" t="str">
        <x:v>Anna</x:v>
      </x:c>
      <x:c r="F25" s="38" t="n">
        <x:v>46149</x:v>
      </x:c>
    </x:row>
    <x:row r="26">
      <x:c r="A26" t="str">
        <x:v>C-1022</x:v>
      </x:c>
      <x:c r="B26" t="str">
        <x:v>EduPro 22</x:v>
      </x:c>
      <x:c r="C26" t="str">
        <x:v>Retail</x:v>
      </x:c>
      <x:c r="D26" t="str">
        <x:v>Active</x:v>
      </x:c>
      <x:c r="E26" t="str">
        <x:v>Sofia</x:v>
      </x:c>
      <x:c r="F26" s="38" t="n">
        <x:v>46134</x:v>
      </x:c>
    </x:row>
    <x:row r="27">
      <x:c r="A27" t="str">
        <x:v>C-1023</x:v>
      </x:c>
      <x:c r="B27" t="str">
        <x:v>FinCraft 23</x:v>
      </x:c>
      <x:c r="C27" t="str">
        <x:v>Crypto</x:v>
      </x:c>
      <x:c r="D27" t="str">
        <x:v>Churned</x:v>
      </x:c>
      <x:c r="E27" t="str">
        <x:v>Maria</x:v>
      </x:c>
      <x:c r="F27" s="38" t="n">
        <x:v>46088</x:v>
      </x:c>
    </x:row>
    <x:row r="28">
      <x:c r="A28" t="str">
        <x:v>C-1024</x:v>
      </x:c>
      <x:c r="B28" t="str">
        <x:v>GreenHome 24</x:v>
      </x:c>
      <x:c r="C28" t="str">
        <x:v>Healthcare</x:v>
      </x:c>
      <x:c r="D28" t="str">
        <x:v>Churned</x:v>
      </x:c>
      <x:c r="E28" t="str">
        <x:v>Elena</x:v>
      </x:c>
      <x:c r="F28" s="38" t="n">
        <x:v>46171</x:v>
      </x:c>
    </x:row>
    <x:row r="29">
      <x:c r="A29" t="str">
        <x:v>C-1025</x:v>
      </x:c>
      <x:c r="B29" t="str">
        <x:v>BrightLabs 25</x:v>
      </x:c>
      <x:c r="C29" t="str">
        <x:v>SaaS</x:v>
      </x:c>
      <x:c r="D29" t="str">
        <x:v>Churned</x:v>
      </x:c>
      <x:c r="E29" t="str">
        <x:v>Elena</x:v>
      </x:c>
      <x:c r="F29" s="38" t="n">
        <x:v>46156</x:v>
      </x:c>
    </x:row>
    <x:row r="30">
      <x:c r="A30" t="str">
        <x:v>C-1026</x:v>
      </x:c>
      <x:c r="B30" t="str">
        <x:v>FoodBox 26</x:v>
      </x:c>
      <x:c r="C30" t="str">
        <x:v>Legal</x:v>
      </x:c>
      <x:c r="D30" t="str">
        <x:v>Lead</x:v>
      </x:c>
      <x:c r="E30" t="str">
        <x:v>Olga</x:v>
      </x:c>
      <x:c r="F30" s="38" t="n">
        <x:v>46125</x:v>
      </x:c>
    </x:row>
    <x:row r="31">
      <x:c r="A31" t="str">
        <x:v>C-1027</x:v>
      </x:c>
      <x:c r="B31" t="str">
        <x:v>FitLife 27</x:v>
      </x:c>
      <x:c r="C31" t="str">
        <x:v>Finance</x:v>
      </x:c>
      <x:c r="D31" t="str">
        <x:v>Churned</x:v>
      </x:c>
      <x:c r="E31" t="str">
        <x:v>Olga</x:v>
      </x:c>
      <x:c r="F31" s="38" t="n">
        <x:v>46120</x:v>
      </x:c>
    </x:row>
    <x:row r="32">
      <x:c r="A32" t="str">
        <x:v>C-1028</x:v>
      </x:c>
      <x:c r="B32" t="str">
        <x:v>HealthPlus 28</x:v>
      </x:c>
      <x:c r="C32" t="str">
        <x:v>Crypto</x:v>
      </x:c>
      <x:c r="D32" t="str">
        <x:v>Active</x:v>
      </x:c>
      <x:c r="E32" t="str">
        <x:v>Sofia</x:v>
      </x:c>
      <x:c r="F32" s="38" t="n">
        <x:v>46057</x:v>
      </x:c>
    </x:row>
    <x:row r="33">
      <x:c r="A33" t="str">
        <x:v>C-1029</x:v>
      </x:c>
      <x:c r="B33" t="str">
        <x:v>RealEstate Pro 29</x:v>
      </x:c>
      <x:c r="C33" t="str">
        <x:v>Crypto</x:v>
      </x:c>
      <x:c r="D33" t="str">
        <x:v>Churned</x:v>
      </x:c>
      <x:c r="E33" t="str">
        <x:v>Olga</x:v>
      </x:c>
      <x:c r="F33" s="38" t="n">
        <x:v>46098</x:v>
      </x:c>
    </x:row>
    <x:row r="34">
      <x:c r="A34" t="str">
        <x:v>C-1030</x:v>
      </x:c>
      <x:c r="B34" t="str">
        <x:v>EduPro 30</x:v>
      </x:c>
      <x:c r="C34" t="str">
        <x:v>Education</x:v>
      </x:c>
      <x:c r="D34" t="str">
        <x:v>Lead</x:v>
      </x:c>
      <x:c r="E34" t="str">
        <x:v>Anna</x:v>
      </x:c>
      <x:c r="F34" s="38" t="n">
        <x:v>46134</x:v>
      </x:c>
    </x:row>
    <x:row r="35">
      <x:c r="A35" t="str">
        <x:v>C-1031</x:v>
      </x:c>
      <x:c r="B35" t="str">
        <x:v>DataPulse 31</x:v>
      </x:c>
      <x:c r="C35" t="str">
        <x:v>Real Estate</x:v>
      </x:c>
      <x:c r="D35" t="str">
        <x:v>Lead</x:v>
      </x:c>
      <x:c r="E35" t="str">
        <x:v>Anna</x:v>
      </x:c>
      <x:c r="F35" s="38" t="n">
        <x:v>46140</x:v>
      </x:c>
    </x:row>
    <x:row r="36">
      <x:c r="A36" t="str">
        <x:v>C-1032</x:v>
      </x:c>
      <x:c r="B36" t="str">
        <x:v>AutoFix 32</x:v>
      </x:c>
      <x:c r="C36" t="str">
        <x:v>Education</x:v>
      </x:c>
      <x:c r="D36" t="str">
        <x:v>Active</x:v>
      </x:c>
      <x:c r="E36" t="str">
        <x:v>Daria</x:v>
      </x:c>
      <x:c r="F36" s="38" t="n">
        <x:v>46173</x:v>
      </x:c>
    </x:row>
    <x:row r="37">
      <x:c r="A37" t="str">
        <x:v>C-1033</x:v>
      </x:c>
      <x:c r="B37" t="str">
        <x:v>Baltic Retail 33</x:v>
      </x:c>
      <x:c r="C37" t="str">
        <x:v>SaaS</x:v>
      </x:c>
      <x:c r="D37" t="str">
        <x:v>Paused</x:v>
      </x:c>
      <x:c r="E37" t="str">
        <x:v>Elena</x:v>
      </x:c>
      <x:c r="F37" s="38" t="n">
        <x:v>46049</x:v>
      </x:c>
    </x:row>
    <x:row r="38">
      <x:c r="A38" t="str">
        <x:v>C-1034</x:v>
      </x:c>
      <x:c r="B38" t="str">
        <x:v>GreenHome 34</x:v>
      </x:c>
      <x:c r="C38" t="str">
        <x:v>Marketing</x:v>
      </x:c>
      <x:c r="D38" t="str">
        <x:v>Lead</x:v>
      </x:c>
      <x:c r="E38" t="str">
        <x:v>Elena</x:v>
      </x:c>
      <x:c r="F38" s="38" t="n">
        <x:v>46168</x:v>
      </x:c>
    </x:row>
    <x:row r="39">
      <x:c r="A39" t="str">
        <x:v>C-1035</x:v>
      </x:c>
      <x:c r="B39" t="str">
        <x:v>Travelio 35</x:v>
      </x:c>
      <x:c r="C39" t="str">
        <x:v>Healthcare</x:v>
      </x:c>
      <x:c r="D39" t="str">
        <x:v>Paused</x:v>
      </x:c>
      <x:c r="E39" t="str">
        <x:v>Sofia</x:v>
      </x:c>
      <x:c r="F39" s="38" t="n">
        <x:v>46046</x:v>
      </x:c>
    </x:row>
    <x:row r="40">
      <x:c r="A40" t="str">
        <x:v>C-1036</x:v>
      </x:c>
      <x:c r="B40" t="str">
        <x:v>FreshMarket 36</x:v>
      </x:c>
      <x:c r="C40" t="str">
        <x:v>Real Estate</x:v>
      </x:c>
      <x:c r="D40" t="str">
        <x:v>Churned</x:v>
      </x:c>
      <x:c r="E40" t="str">
        <x:v>Olga</x:v>
      </x:c>
      <x:c r="F40" s="38" t="n">
        <x:v>46067</x:v>
      </x:c>
    </x:row>
    <x:row r="41">
      <x:c r="A41" t="str">
        <x:v>C-1037</x:v>
      </x:c>
      <x:c r="B41" t="str">
        <x:v>FreshMarket 37</x:v>
      </x:c>
      <x:c r="C41" t="str">
        <x:v>Crypto</x:v>
      </x:c>
      <x:c r="D41" t="str">
        <x:v>Lead</x:v>
      </x:c>
      <x:c r="E41" t="str">
        <x:v>Maria</x:v>
      </x:c>
      <x:c r="F41" s="38" t="n">
        <x:v>46080</x:v>
      </x:c>
    </x:row>
    <x:row r="42">
      <x:c r="A42" t="str">
        <x:v>C-1038</x:v>
      </x:c>
      <x:c r="B42" t="str">
        <x:v>Baltic Retail 38</x:v>
      </x:c>
      <x:c r="C42" t="str">
        <x:v>Marketing</x:v>
      </x:c>
      <x:c r="D42" t="str">
        <x:v>Churned</x:v>
      </x:c>
      <x:c r="E42" t="str">
        <x:v>Sofia</x:v>
      </x:c>
      <x:c r="F42" s="38" t="n">
        <x:v>46026</x:v>
      </x:c>
    </x:row>
    <x:row r="43">
      <x:c r="A43" t="str">
        <x:v>C-1039</x:v>
      </x:c>
      <x:c r="B43" t="str">
        <x:v>HealthPlus 39</x:v>
      </x:c>
      <x:c r="C43" t="str">
        <x:v>Education</x:v>
      </x:c>
      <x:c r="D43" t="str">
        <x:v>Lead</x:v>
      </x:c>
      <x:c r="E43" t="str">
        <x:v>Sofia</x:v>
      </x:c>
      <x:c r="F43" s="38" t="n">
        <x:v>46083</x:v>
      </x:c>
    </x:row>
    <x:row r="44">
      <x:c r="A44" t="str">
        <x:v>C-1040</x:v>
      </x:c>
      <x:c r="B44" t="str">
        <x:v>Northwind 40</x:v>
      </x:c>
      <x:c r="C44" t="str">
        <x:v>Finance</x:v>
      </x:c>
      <x:c r="D44" t="str">
        <x:v>Active</x:v>
      </x:c>
      <x:c r="E44" t="str">
        <x:v>Maria</x:v>
      </x:c>
      <x:c r="F44" s="38" t="n">
        <x:v>46042</x:v>
      </x:c>
    </x:row>
    <x:row r="45">
      <x:c r="A45" t="str">
        <x:v>C-1041</x:v>
      </x:c>
      <x:c r="B45" t="str">
        <x:v>GreenHome 41</x:v>
      </x:c>
      <x:c r="C45" t="str">
        <x:v>Real Estate</x:v>
      </x:c>
      <x:c r="D45" t="str">
        <x:v>Churned</x:v>
      </x:c>
      <x:c r="E45" t="str">
        <x:v>Sofia</x:v>
      </x:c>
      <x:c r="F45" s="38" t="n">
        <x:v>46140</x:v>
      </x:c>
    </x:row>
    <x:row r="46">
      <x:c r="A46" t="str">
        <x:v>C-1042</x:v>
      </x:c>
      <x:c r="B46" t="str">
        <x:v>HealthPlus 42</x:v>
      </x:c>
      <x:c r="C46" t="str">
        <x:v>Logistics</x:v>
      </x:c>
      <x:c r="D46" t="str">
        <x:v>Paused</x:v>
      </x:c>
      <x:c r="E46" t="str">
        <x:v>Sofia</x:v>
      </x:c>
      <x:c r="F46" s="38" t="n">
        <x:v>46076</x:v>
      </x:c>
    </x:row>
    <x:row r="47">
      <x:c r="A47" t="str">
        <x:v>C-1043</x:v>
      </x:c>
      <x:c r="B47" t="str">
        <x:v>CloudNine 43</x:v>
      </x:c>
      <x:c r="C47" t="str">
        <x:v>Marketing</x:v>
      </x:c>
      <x:c r="D47" t="str">
        <x:v>Paused</x:v>
      </x:c>
      <x:c r="E47" t="str">
        <x:v>Anna</x:v>
      </x:c>
      <x:c r="F47" s="38" t="n">
        <x:v>46172</x:v>
      </x:c>
    </x:row>
    <x:row r="48">
      <x:c r="A48" t="str">
        <x:v>C-1044</x:v>
      </x:c>
      <x:c r="B48" t="str">
        <x:v>FitLife 44</x:v>
      </x:c>
      <x:c r="C48" t="str">
        <x:v>Legal</x:v>
      </x:c>
      <x:c r="D48" t="str">
        <x:v>Paused</x:v>
      </x:c>
      <x:c r="E48" t="str">
        <x:v>Elena</x:v>
      </x:c>
      <x:c r="F48" s="38" t="n">
        <x:v>46093</x:v>
      </x:c>
    </x:row>
    <x:row r="49">
      <x:c r="A49" t="str">
        <x:v>C-1045</x:v>
      </x:c>
      <x:c r="B49" t="str">
        <x:v>Nord Studio 45</x:v>
      </x:c>
      <x:c r="C49" t="str">
        <x:v>Marketing</x:v>
      </x:c>
      <x:c r="D49" t="str">
        <x:v>Churned</x:v>
      </x:c>
      <x:c r="E49" t="str">
        <x:v>Sofia</x:v>
      </x:c>
      <x:c r="F49" s="38" t="n">
        <x:v>46136</x:v>
      </x:c>
    </x:row>
    <x:row r="50">
      <x:c r="A50" t="str">
        <x:v>C-1046</x:v>
      </x:c>
      <x:c r="B50" t="str">
        <x:v>FoodBox 46</x:v>
      </x:c>
      <x:c r="C50" t="str">
        <x:v>Logistics</x:v>
      </x:c>
      <x:c r="D50" t="str">
        <x:v>Active</x:v>
      </x:c>
      <x:c r="E50" t="str">
        <x:v>Anna</x:v>
      </x:c>
      <x:c r="F50" s="38" t="n">
        <x:v>46168</x:v>
      </x:c>
    </x:row>
    <x:row r="51">
      <x:c r="A51" t="str">
        <x:v>C-1047</x:v>
      </x:c>
      <x:c r="B51" t="str">
        <x:v>AutoFix 47</x:v>
      </x:c>
      <x:c r="C51" t="str">
        <x:v>Education</x:v>
      </x:c>
      <x:c r="D51" t="str">
        <x:v>Churned</x:v>
      </x:c>
      <x:c r="E51" t="str">
        <x:v>Daria</x:v>
      </x:c>
      <x:c r="F51" s="38" t="n">
        <x:v>46170</x:v>
      </x:c>
    </x:row>
    <x:row r="52">
      <x:c r="A52" t="str">
        <x:v>C-1048</x:v>
      </x:c>
      <x:c r="B52" t="str">
        <x:v>HealthPlus 48</x:v>
      </x:c>
      <x:c r="C52" t="str">
        <x:v>Finance</x:v>
      </x:c>
      <x:c r="D52" t="str">
        <x:v>Churned</x:v>
      </x:c>
      <x:c r="E52" t="str">
        <x:v>Olga</x:v>
      </x:c>
      <x:c r="F52" s="38" t="n">
        <x:v>46113</x:v>
      </x:c>
    </x:row>
    <x:row r="53">
      <x:c r="A53" t="str">
        <x:v>C-1049</x:v>
      </x:c>
      <x:c r="B53" t="str">
        <x:v>CryptoDesk 49</x:v>
      </x:c>
      <x:c r="C53" t="str">
        <x:v>Finance</x:v>
      </x:c>
      <x:c r="D53" t="str">
        <x:v>Active</x:v>
      </x:c>
      <x:c r="E53" t="str">
        <x:v>Anna</x:v>
      </x:c>
      <x:c r="F53" s="38" t="n">
        <x:v>46161</x:v>
      </x:c>
    </x:row>
    <x:row r="54">
      <x:c r="A54" t="str">
        <x:v>C-1050</x:v>
      </x:c>
      <x:c r="B54" t="str">
        <x:v>EduPro 50</x:v>
      </x:c>
      <x:c r="C54" t="str">
        <x:v>Education</x:v>
      </x:c>
      <x:c r="D54" t="str">
        <x:v>Churned</x:v>
      </x:c>
      <x:c r="E54" t="str">
        <x:v>Maria</x:v>
      </x:c>
      <x:c r="F54" s="38" t="n">
        <x:v>46158</x:v>
      </x:c>
    </x:row>
    <x:row r="55">
      <x:c r="A55" t="str">
        <x:v>C-1051</x:v>
      </x:c>
      <x:c r="B55" t="str">
        <x:v>FitLife 51</x:v>
      </x:c>
      <x:c r="C55" t="str">
        <x:v>Crypto</x:v>
      </x:c>
      <x:c r="D55" t="str">
        <x:v>Paused</x:v>
      </x:c>
      <x:c r="E55" t="str">
        <x:v>Maria</x:v>
      </x:c>
      <x:c r="F55" s="38" t="n">
        <x:v>46086</x:v>
      </x:c>
    </x:row>
    <x:row r="56">
      <x:c r="A56" t="str">
        <x:v>C-1052</x:v>
      </x:c>
      <x:c r="B56" t="str">
        <x:v>FreshMarket 52</x:v>
      </x:c>
      <x:c r="C56" t="str">
        <x:v>Marketing</x:v>
      </x:c>
      <x:c r="D56" t="str">
        <x:v>Churned</x:v>
      </x:c>
      <x:c r="E56" t="str">
        <x:v>Maria</x:v>
      </x:c>
      <x:c r="F56" s="38" t="n">
        <x:v>46161</x:v>
      </x:c>
    </x:row>
    <x:row r="57">
      <x:c r="A57" t="str">
        <x:v>C-1053</x:v>
      </x:c>
      <x:c r="B57" t="str">
        <x:v>Baltic Retail 53</x:v>
      </x:c>
      <x:c r="C57" t="str">
        <x:v>Logistics</x:v>
      </x:c>
      <x:c r="D57" t="str">
        <x:v>Lead</x:v>
      </x:c>
      <x:c r="E57" t="str">
        <x:v>Anna</x:v>
      </x:c>
      <x:c r="F57" s="38" t="n">
        <x:v>46092</x:v>
      </x:c>
    </x:row>
    <x:row r="58">
      <x:c r="A58" t="str">
        <x:v>C-1054</x:v>
      </x:c>
      <x:c r="B58" t="str">
        <x:v>LegalHub 54</x:v>
      </x:c>
      <x:c r="C58" t="str">
        <x:v>Real Estate</x:v>
      </x:c>
      <x:c r="D58" t="str">
        <x:v>Paused</x:v>
      </x:c>
      <x:c r="E58" t="str">
        <x:v>Sofia</x:v>
      </x:c>
      <x:c r="F58" s="38" t="n">
        <x:v>46067</x:v>
      </x:c>
    </x:row>
    <x:row r="59">
      <x:c r="A59" t="str">
        <x:v>C-1055</x:v>
      </x:c>
      <x:c r="B59" t="str">
        <x:v>Northwind 55</x:v>
      </x:c>
      <x:c r="C59" t="str">
        <x:v>Marketing</x:v>
      </x:c>
      <x:c r="D59" t="str">
        <x:v>Lead</x:v>
      </x:c>
      <x:c r="E59" t="str">
        <x:v>Anna</x:v>
      </x:c>
      <x:c r="F59" s="38" t="n">
        <x:v>46071</x:v>
      </x:c>
    </x:row>
    <x:row r="60">
      <x:c r="A60" t="str">
        <x:v>C-1056</x:v>
      </x:c>
      <x:c r="B60" t="str">
        <x:v>CryptoDesk 56</x:v>
      </x:c>
      <x:c r="C60" t="str">
        <x:v>Crypto</x:v>
      </x:c>
      <x:c r="D60" t="str">
        <x:v>Active</x:v>
      </x:c>
      <x:c r="E60" t="str">
        <x:v>Elena</x:v>
      </x:c>
      <x:c r="F60" s="38" t="n">
        <x:v>46087</x:v>
      </x:c>
    </x:row>
    <x:row r="61">
      <x:c r="A61" t="str">
        <x:v>C-1057</x:v>
      </x:c>
      <x:c r="B61" t="str">
        <x:v>RealEstate Pro 57</x:v>
      </x:c>
      <x:c r="C61" t="str">
        <x:v>Legal</x:v>
      </x:c>
      <x:c r="D61" t="str">
        <x:v>Active</x:v>
      </x:c>
      <x:c r="E61" t="str">
        <x:v>Anna</x:v>
      </x:c>
      <x:c r="F61" s="38" t="n">
        <x:v>46130</x:v>
      </x:c>
    </x:row>
    <x:row r="62">
      <x:c r="A62" t="str">
        <x:v>C-1058</x:v>
      </x:c>
      <x:c r="B62" t="str">
        <x:v>GreenHome 58</x:v>
      </x:c>
      <x:c r="C62" t="str">
        <x:v>SaaS</x:v>
      </x:c>
      <x:c r="D62" t="str">
        <x:v>Churned</x:v>
      </x:c>
      <x:c r="E62" t="str">
        <x:v>Anna</x:v>
      </x:c>
      <x:c r="F62" s="38" t="n">
        <x:v>46081</x:v>
      </x:c>
    </x:row>
    <x:row r="63">
      <x:c r="A63" t="str">
        <x:v>C-1059</x:v>
      </x:c>
      <x:c r="B63" t="str">
        <x:v>BrightLabs 59</x:v>
      </x:c>
      <x:c r="C63" t="str">
        <x:v>Education</x:v>
      </x:c>
      <x:c r="D63" t="str">
        <x:v>Paused</x:v>
      </x:c>
      <x:c r="E63" t="str">
        <x:v>Anna</x:v>
      </x:c>
      <x:c r="F63" s="38" t="n">
        <x:v>46149</x:v>
      </x:c>
    </x:row>
    <x:row r="64">
      <x:c r="A64" t="str">
        <x:v>C-1060</x:v>
      </x:c>
      <x:c r="B64" t="str">
        <x:v>LegalHub 60</x:v>
      </x:c>
      <x:c r="C64" t="str">
        <x:v>Crypto</x:v>
      </x:c>
      <x:c r="D64" t="str">
        <x:v>Active</x:v>
      </x:c>
      <x:c r="E64" t="str">
        <x:v>Sofia</x:v>
      </x:c>
      <x:c r="F64" s="38" t="n">
        <x:v>46107</x:v>
      </x:c>
    </x:row>
    <x:row r="65">
      <x:c r="A65" t="str">
        <x:v>C-1061</x:v>
      </x:c>
      <x:c r="B65" t="str">
        <x:v>Travelio 61</x:v>
      </x:c>
      <x:c r="C65" t="str">
        <x:v>Crypto</x:v>
      </x:c>
      <x:c r="D65" t="str">
        <x:v>Churned</x:v>
      </x:c>
      <x:c r="E65" t="str">
        <x:v>Elena</x:v>
      </x:c>
      <x:c r="F65" s="38" t="n">
        <x:v>46063</x:v>
      </x:c>
    </x:row>
    <x:row r="66">
      <x:c r="A66" t="str">
        <x:v>C-1062</x:v>
      </x:c>
      <x:c r="B66" t="str">
        <x:v>RealEstate Pro 62</x:v>
      </x:c>
      <x:c r="C66" t="str">
        <x:v>Education</x:v>
      </x:c>
      <x:c r="D66" t="str">
        <x:v>Paused</x:v>
      </x:c>
      <x:c r="E66" t="str">
        <x:v>Elena</x:v>
      </x:c>
      <x:c r="F66" s="38" t="n">
        <x:v>46047</x:v>
      </x:c>
    </x:row>
    <x:row r="67">
      <x:c r="A67" t="str">
        <x:v>C-1063</x:v>
      </x:c>
      <x:c r="B67" t="str">
        <x:v>DataPulse 63</x:v>
      </x:c>
      <x:c r="C67" t="str">
        <x:v>Logistics</x:v>
      </x:c>
      <x:c r="D67" t="str">
        <x:v>Churned</x:v>
      </x:c>
      <x:c r="E67" t="str">
        <x:v>Daria</x:v>
      </x:c>
      <x:c r="F67" s="38" t="n">
        <x:v>46105</x:v>
      </x:c>
    </x:row>
    <x:row r="68">
      <x:c r="A68" t="str">
        <x:v>C-1064</x:v>
      </x:c>
      <x:c r="B68" t="str">
        <x:v>CryptoDesk 64</x:v>
      </x:c>
      <x:c r="C68" t="str">
        <x:v>Finance</x:v>
      </x:c>
      <x:c r="D68" t="str">
        <x:v>Active</x:v>
      </x:c>
      <x:c r="E68" t="str">
        <x:v>Anna</x:v>
      </x:c>
      <x:c r="F68" s="38" t="n">
        <x:v>46127</x:v>
      </x:c>
    </x:row>
    <x:row r="69">
      <x:c r="A69" t="str">
        <x:v>C-1065</x:v>
      </x:c>
      <x:c r="B69" t="str">
        <x:v>GreenHome 65</x:v>
      </x:c>
      <x:c r="C69" t="str">
        <x:v>Healthcare</x:v>
      </x:c>
      <x:c r="D69" t="str">
        <x:v>Lead</x:v>
      </x:c>
      <x:c r="E69" t="str">
        <x:v>Elena</x:v>
      </x:c>
      <x:c r="F69" s="38" t="n">
        <x:v>46092</x:v>
      </x:c>
    </x:row>
    <x:row r="70">
      <x:c r="A70" t="str">
        <x:v>C-1066</x:v>
      </x:c>
      <x:c r="B70" t="str">
        <x:v>BrightLabs 66</x:v>
      </x:c>
      <x:c r="C70" t="str">
        <x:v>Retail</x:v>
      </x:c>
      <x:c r="D70" t="str">
        <x:v>Churned</x:v>
      </x:c>
      <x:c r="E70" t="str">
        <x:v>Olga</x:v>
      </x:c>
      <x:c r="F70" s="38" t="n">
        <x:v>46129</x:v>
      </x:c>
    </x:row>
    <x:row r="71">
      <x:c r="A71" t="str">
        <x:v>C-1067</x:v>
      </x:c>
      <x:c r="B71" t="str">
        <x:v>FitLife 67</x:v>
      </x:c>
      <x:c r="C71" t="str">
        <x:v>Real Estate</x:v>
      </x:c>
      <x:c r="D71" t="str">
        <x:v>Paused</x:v>
      </x:c>
      <x:c r="E71" t="str">
        <x:v>Daria</x:v>
      </x:c>
      <x:c r="F71" s="38" t="n">
        <x:v>46052</x:v>
      </x:c>
    </x:row>
    <x:row r="72">
      <x:c r="A72" t="str">
        <x:v>C-1068</x:v>
      </x:c>
      <x:c r="B72" t="str">
        <x:v>BeautyLab 68</x:v>
      </x:c>
      <x:c r="C72" t="str">
        <x:v>SaaS</x:v>
      </x:c>
      <x:c r="D72" t="str">
        <x:v>Lead</x:v>
      </x:c>
      <x:c r="E72" t="str">
        <x:v>Sofia</x:v>
      </x:c>
      <x:c r="F72" s="38" t="n">
        <x:v>46103</x:v>
      </x:c>
    </x:row>
    <x:row r="73">
      <x:c r="A73" t="str">
        <x:v>C-1069</x:v>
      </x:c>
      <x:c r="B73" t="str">
        <x:v>FoodBox 69</x:v>
      </x:c>
      <x:c r="C73" t="str">
        <x:v>Healthcare</x:v>
      </x:c>
      <x:c r="D73" t="str">
        <x:v>Active</x:v>
      </x:c>
      <x:c r="E73" t="str">
        <x:v>Elena</x:v>
      </x:c>
      <x:c r="F73" s="38" t="n">
        <x:v>46027</x:v>
      </x:c>
    </x:row>
    <x:row r="74">
      <x:c r="A74" t="str">
        <x:v>C-1070</x:v>
      </x:c>
      <x:c r="B74" t="str">
        <x:v>AutoFix 70</x:v>
      </x:c>
      <x:c r="C74" t="str">
        <x:v>SaaS</x:v>
      </x:c>
      <x:c r="D74" t="str">
        <x:v>Churned</x:v>
      </x:c>
      <x:c r="E74" t="str">
        <x:v>Daria</x:v>
      </x:c>
      <x:c r="F74" s="38" t="n">
        <x:v>46031</x:v>
      </x:c>
    </x:row>
    <x:row r="75">
      <x:c r="A75" t="str">
        <x:v>C-1071</x:v>
      </x:c>
      <x:c r="B75" t="str">
        <x:v>BeautyLab 71</x:v>
      </x:c>
      <x:c r="C75" t="str">
        <x:v>Retail</x:v>
      </x:c>
      <x:c r="D75" t="str">
        <x:v>Active</x:v>
      </x:c>
      <x:c r="E75" t="str">
        <x:v>Sofia</x:v>
      </x:c>
      <x:c r="F75" s="38" t="n">
        <x:v>46123</x:v>
      </x:c>
    </x:row>
    <x:row r="76">
      <x:c r="A76" t="str">
        <x:v>C-1072</x:v>
      </x:c>
      <x:c r="B76" t="str">
        <x:v>CryptoDesk 72</x:v>
      </x:c>
      <x:c r="C76" t="str">
        <x:v>Education</x:v>
      </x:c>
      <x:c r="D76" t="str">
        <x:v>Active</x:v>
      </x:c>
      <x:c r="E76" t="str">
        <x:v>Anna</x:v>
      </x:c>
      <x:c r="F76" s="38" t="n">
        <x:v>46024</x:v>
      </x:c>
    </x:row>
    <x:row r="77">
      <x:c r="A77" t="str">
        <x:v>C-1073</x:v>
      </x:c>
      <x:c r="B77" t="str">
        <x:v>BrightLabs 73</x:v>
      </x:c>
      <x:c r="C77" t="str">
        <x:v>SaaS</x:v>
      </x:c>
      <x:c r="D77" t="str">
        <x:v>Lead</x:v>
      </x:c>
      <x:c r="E77" t="str">
        <x:v>Elena</x:v>
      </x:c>
      <x:c r="F77" s="38" t="n">
        <x:v>46171</x:v>
      </x:c>
    </x:row>
    <x:row r="78">
      <x:c r="A78" t="str">
        <x:v>C-1074</x:v>
      </x:c>
      <x:c r="B78" t="str">
        <x:v>EduPro 74</x:v>
      </x:c>
      <x:c r="C78" t="str">
        <x:v>Finance</x:v>
      </x:c>
      <x:c r="D78" t="str">
        <x:v>Active</x:v>
      </x:c>
      <x:c r="E78" t="str">
        <x:v>Daria</x:v>
      </x:c>
      <x:c r="F78" s="38" t="n">
        <x:v>46066</x:v>
      </x:c>
    </x:row>
    <x:row r="79">
      <x:c r="A79" t="str">
        <x:v>C-1075</x:v>
      </x:c>
      <x:c r="B79" t="str">
        <x:v>EduPro 75</x:v>
      </x:c>
      <x:c r="C79" t="str">
        <x:v>Real Estate</x:v>
      </x:c>
      <x:c r="D79" t="str">
        <x:v>Churned</x:v>
      </x:c>
      <x:c r="E79" t="str">
        <x:v>Anna</x:v>
      </x:c>
      <x:c r="F79" s="38" t="n">
        <x:v>46085</x:v>
      </x:c>
    </x:row>
    <x:row r="80">
      <x:c r="A80" t="str">
        <x:v>C-1076</x:v>
      </x:c>
      <x:c r="B80" t="str">
        <x:v>Baltic Retail 76</x:v>
      </x:c>
      <x:c r="C80" t="str">
        <x:v>Healthcare</x:v>
      </x:c>
      <x:c r="D80" t="str">
        <x:v>Active</x:v>
      </x:c>
      <x:c r="E80" t="str">
        <x:v>Sofia</x:v>
      </x:c>
      <x:c r="F80" s="38" t="n">
        <x:v>46072</x:v>
      </x:c>
    </x:row>
    <x:row r="81">
      <x:c r="A81" t="str">
        <x:v>C-1077</x:v>
      </x:c>
      <x:c r="B81" t="str">
        <x:v>FinCraft 77</x:v>
      </x:c>
      <x:c r="C81" t="str">
        <x:v>Marketing</x:v>
      </x:c>
      <x:c r="D81" t="str">
        <x:v>Paused</x:v>
      </x:c>
      <x:c r="E81" t="str">
        <x:v>Sofia</x:v>
      </x:c>
      <x:c r="F81" s="38" t="n">
        <x:v>46067</x:v>
      </x:c>
    </x:row>
    <x:row r="82">
      <x:c r="A82" t="str">
        <x:v>C-1078</x:v>
      </x:c>
      <x:c r="B82" t="str">
        <x:v>Travelio 78</x:v>
      </x:c>
      <x:c r="C82" t="str">
        <x:v>Education</x:v>
      </x:c>
      <x:c r="D82" t="str">
        <x:v>Paused</x:v>
      </x:c>
      <x:c r="E82" t="str">
        <x:v>Olga</x:v>
      </x:c>
      <x:c r="F82" s="38" t="n">
        <x:v>46169</x:v>
      </x:c>
    </x:row>
    <x:row r="83">
      <x:c r="A83" t="str">
        <x:v>C-1079</x:v>
      </x:c>
      <x:c r="B83" t="str">
        <x:v>EduPro 79</x:v>
      </x:c>
      <x:c r="C83" t="str">
        <x:v>Real Estate</x:v>
      </x:c>
      <x:c r="D83" t="str">
        <x:v>Paused</x:v>
      </x:c>
      <x:c r="E83" t="str">
        <x:v>Anna</x:v>
      </x:c>
      <x:c r="F83" s="38" t="n">
        <x:v>46170</x:v>
      </x:c>
    </x:row>
    <x:row r="84">
      <x:c r="A84" t="str">
        <x:v>C-1080</x:v>
      </x:c>
      <x:c r="B84" t="str">
        <x:v>EduPro 80</x:v>
      </x:c>
      <x:c r="C84" t="str">
        <x:v>Crypto</x:v>
      </x:c>
      <x:c r="D84" t="str">
        <x:v>Churned</x:v>
      </x:c>
      <x:c r="E84" t="str">
        <x:v>Maria</x:v>
      </x:c>
      <x:c r="F84" s="38" t="n">
        <x:v>46156</x:v>
      </x:c>
    </x:row>
  </x:sheetData>
  <x:mergeCells>
    <x:mergeCell ref="A1:F1"/>
    <x:mergeCell ref="A2:F2"/>
  </x:mergeCells>
  <x:dataValidations count="1">
    <x:dataValidation type="list" sqref="D5:D84">
      <x:formula1>"Lead,Active,Paused,Churned"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a009452ac341ca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14" hidden="0" customWidth="1"/>
    <x:col min="5" max="5" width="12" hidden="0" customWidth="1"/>
    <x:col min="6" max="6" width="12" hidden="0" customWidth="1"/>
    <x:col min="7" max="7" width="14" hidden="0" customWidth="1"/>
    <x:col min="8" max="8" width="12" hidden="0" customWidth="1"/>
  </x:cols>
  <x:sheetData>
    <x:row r="1" ht="28" customHeight="1">
      <x:c r="A1" s="5" t="str">
        <x:v>Case 5 — Mini CRM Deals</x:v>
      </x:c>
    </x:row>
    <x:row r="2" ht="34" customHeight="1">
      <x:c r="A2" s="12" t="str">
        <x:v>Pipeline data with stages, value, probability and close dates.</x:v>
      </x:c>
    </x:row>
    <x:row r="4">
      <x:c r="A4" s="32" t="str">
        <x:v>Deal ID</x:v>
      </x:c>
      <x:c r="B4" s="32" t="str">
        <x:v>Client ID</x:v>
      </x:c>
      <x:c r="C4" s="32" t="str">
        <x:v>Client Name</x:v>
      </x:c>
      <x:c r="D4" s="32" t="str">
        <x:v>Stage</x:v>
      </x:c>
      <x:c r="E4" s="32" t="str">
        <x:v>Deal Value</x:v>
      </x:c>
      <x:c r="F4" s="32" t="str">
        <x:v>Probability</x:v>
      </x:c>
      <x:c r="G4" s="32" t="str">
        <x:v>Expected Close</x:v>
      </x:c>
      <x:c r="H4" s="32" t="str">
        <x:v>Owner</x:v>
      </x:c>
    </x:row>
    <x:row r="5">
      <x:c r="A5" t="str">
        <x:v>D-2001</x:v>
      </x:c>
      <x:c r="B5" t="str">
        <x:v>C-1040</x:v>
      </x:c>
      <x:c r="C5" t="str">
        <x:v>Northwind 40</x:v>
      </x:c>
      <x:c r="D5" t="str">
        <x:v>New</x:v>
      </x:c>
      <x:c r="E5" s="76" t="n">
        <x:v>441.17</x:v>
      </x:c>
      <x:c r="F5" s="66" t="n">
        <x:v>0.1</x:v>
      </x:c>
      <x:c r="G5" s="38" t="n">
        <x:v>46202</x:v>
      </x:c>
      <x:c r="H5" t="str">
        <x:v>Olga</x:v>
      </x:c>
    </x:row>
    <x:row r="6">
      <x:c r="A6" t="str">
        <x:v>D-2002</x:v>
      </x:c>
      <x:c r="B6" t="str">
        <x:v>C-1075</x:v>
      </x:c>
      <x:c r="C6" t="str">
        <x:v>EduPro 75</x:v>
      </x:c>
      <x:c r="D6" t="str">
        <x:v>Proposal</x:v>
      </x:c>
      <x:c r="E6" s="76" t="n">
        <x:v>1493.15</x:v>
      </x:c>
      <x:c r="F6" s="66" t="n">
        <x:v>0.45</x:v>
      </x:c>
      <x:c r="G6" s="38" t="n">
        <x:v>46094</x:v>
      </x:c>
      <x:c r="H6" t="str">
        <x:v>Olga</x:v>
      </x:c>
    </x:row>
    <x:row r="7">
      <x:c r="A7" t="str">
        <x:v>D-2003</x:v>
      </x:c>
      <x:c r="B7" t="str">
        <x:v>C-1023</x:v>
      </x:c>
      <x:c r="C7" t="str">
        <x:v>FinCraft 23</x:v>
      </x:c>
      <x:c r="D7" t="str">
        <x:v>New</x:v>
      </x:c>
      <x:c r="E7" s="76" t="n">
        <x:v>7396.63</x:v>
      </x:c>
      <x:c r="F7" s="66" t="n">
        <x:v>0.1</x:v>
      </x:c>
      <x:c r="G7" s="38" t="n">
        <x:v>46209</x:v>
      </x:c>
      <x:c r="H7" t="str">
        <x:v>Elena</x:v>
      </x:c>
    </x:row>
    <x:row r="8">
      <x:c r="A8" t="str">
        <x:v>D-2004</x:v>
      </x:c>
      <x:c r="B8" t="str">
        <x:v>C-1038</x:v>
      </x:c>
      <x:c r="C8" t="str">
        <x:v>Baltic Retail 38</x:v>
      </x:c>
      <x:c r="D8" t="str">
        <x:v>Lost</x:v>
      </x:c>
      <x:c r="E8" s="76" t="n">
        <x:v>4474.02</x:v>
      </x:c>
      <x:c r="F8" s="66" t="n">
        <x:v>0</x:v>
      </x:c>
      <x:c r="G8" s="38" t="n">
        <x:v>46108</x:v>
      </x:c>
      <x:c r="H8" t="str">
        <x:v>Maria</x:v>
      </x:c>
    </x:row>
    <x:row r="9">
      <x:c r="A9" t="str">
        <x:v>D-2005</x:v>
      </x:c>
      <x:c r="B9" t="str">
        <x:v>C-1068</x:v>
      </x:c>
      <x:c r="C9" t="str">
        <x:v>BeautyLab 68</x:v>
      </x:c>
      <x:c r="D9" t="str">
        <x:v>Negotiation</x:v>
      </x:c>
      <x:c r="E9" s="76" t="n">
        <x:v>11580.51</x:v>
      </x:c>
      <x:c r="F9" s="66" t="n">
        <x:v>0.65</x:v>
      </x:c>
      <x:c r="G9" s="38" t="n">
        <x:v>46128</x:v>
      </x:c>
      <x:c r="H9" t="str">
        <x:v>Maria</x:v>
      </x:c>
    </x:row>
    <x:row r="10">
      <x:c r="A10" t="str">
        <x:v>D-2006</x:v>
      </x:c>
      <x:c r="B10" t="str">
        <x:v>C-1063</x:v>
      </x:c>
      <x:c r="C10" t="str">
        <x:v>DataPulse 63</x:v>
      </x:c>
      <x:c r="D10" t="str">
        <x:v>Qualified</x:v>
      </x:c>
      <x:c r="E10" s="76" t="n">
        <x:v>9272.11</x:v>
      </x:c>
      <x:c r="F10" s="66" t="n">
        <x:v>0.25</x:v>
      </x:c>
      <x:c r="G10" s="38" t="n">
        <x:v>46170</x:v>
      </x:c>
      <x:c r="H10" t="str">
        <x:v>Anna</x:v>
      </x:c>
    </x:row>
    <x:row r="11">
      <x:c r="A11" t="str">
        <x:v>D-2007</x:v>
      </x:c>
      <x:c r="B11" t="str">
        <x:v>C-1028</x:v>
      </x:c>
      <x:c r="C11" t="str">
        <x:v>HealthPlus 28</x:v>
      </x:c>
      <x:c r="D11" t="str">
        <x:v>Negotiation</x:v>
      </x:c>
      <x:c r="E11" s="76" t="n">
        <x:v>8938.45</x:v>
      </x:c>
      <x:c r="F11" s="66" t="n">
        <x:v>0.65</x:v>
      </x:c>
      <x:c r="G11" s="38" t="n">
        <x:v>46195</x:v>
      </x:c>
      <x:c r="H11" t="str">
        <x:v>Olga</x:v>
      </x:c>
    </x:row>
    <x:row r="12">
      <x:c r="A12" t="str">
        <x:v>D-2008</x:v>
      </x:c>
      <x:c r="B12" t="str">
        <x:v>C-1023</x:v>
      </x:c>
      <x:c r="C12" t="str">
        <x:v>FinCraft 23</x:v>
      </x:c>
      <x:c r="D12" t="str">
        <x:v>Won</x:v>
      </x:c>
      <x:c r="E12" s="76" t="n">
        <x:v>9449.23</x:v>
      </x:c>
      <x:c r="F12" s="66" t="n">
        <x:v>1</x:v>
      </x:c>
      <x:c r="G12" s="38" t="n">
        <x:v>46191</x:v>
      </x:c>
      <x:c r="H12" t="str">
        <x:v>Daria</x:v>
      </x:c>
    </x:row>
    <x:row r="13">
      <x:c r="A13" t="str">
        <x:v>D-2009</x:v>
      </x:c>
      <x:c r="B13" t="str">
        <x:v>C-1065</x:v>
      </x:c>
      <x:c r="C13" t="str">
        <x:v>GreenHome 65</x:v>
      </x:c>
      <x:c r="D13" t="str">
        <x:v>Negotiation</x:v>
      </x:c>
      <x:c r="E13" s="76" t="n">
        <x:v>14873.07</x:v>
      </x:c>
      <x:c r="F13" s="66" t="n">
        <x:v>0.65</x:v>
      </x:c>
      <x:c r="G13" s="38" t="n">
        <x:v>46173</x:v>
      </x:c>
      <x:c r="H13" t="str">
        <x:v>Sofia</x:v>
      </x:c>
    </x:row>
    <x:row r="14">
      <x:c r="A14" t="str">
        <x:v>D-2010</x:v>
      </x:c>
      <x:c r="B14" t="str">
        <x:v>C-1028</x:v>
      </x:c>
      <x:c r="C14" t="str">
        <x:v>HealthPlus 28</x:v>
      </x:c>
      <x:c r="D14" t="str">
        <x:v>Qualified</x:v>
      </x:c>
      <x:c r="E14" s="76" t="n">
        <x:v>14213.28</x:v>
      </x:c>
      <x:c r="F14" s="66" t="n">
        <x:v>0.25</x:v>
      </x:c>
      <x:c r="G14" s="38" t="n">
        <x:v>46146</x:v>
      </x:c>
      <x:c r="H14" t="str">
        <x:v>Anna</x:v>
      </x:c>
    </x:row>
    <x:row r="15">
      <x:c r="A15" t="str">
        <x:v>D-2011</x:v>
      </x:c>
      <x:c r="B15" t="str">
        <x:v>C-1042</x:v>
      </x:c>
      <x:c r="C15" t="str">
        <x:v>HealthPlus 42</x:v>
      </x:c>
      <x:c r="D15" t="str">
        <x:v>Qualified</x:v>
      </x:c>
      <x:c r="E15" s="76" t="n">
        <x:v>13660.51</x:v>
      </x:c>
      <x:c r="F15" s="66" t="n">
        <x:v>0.25</x:v>
      </x:c>
      <x:c r="G15" s="38" t="n">
        <x:v>46065</x:v>
      </x:c>
      <x:c r="H15" t="str">
        <x:v>Daria</x:v>
      </x:c>
    </x:row>
    <x:row r="16">
      <x:c r="A16" t="str">
        <x:v>D-2012</x:v>
      </x:c>
      <x:c r="B16" t="str">
        <x:v>C-1066</x:v>
      </x:c>
      <x:c r="C16" t="str">
        <x:v>BrightLabs 66</x:v>
      </x:c>
      <x:c r="D16" t="str">
        <x:v>New</x:v>
      </x:c>
      <x:c r="E16" s="76" t="n">
        <x:v>12482.45</x:v>
      </x:c>
      <x:c r="F16" s="66" t="n">
        <x:v>0.1</x:v>
      </x:c>
      <x:c r="G16" s="38" t="n">
        <x:v>46197</x:v>
      </x:c>
      <x:c r="H16" t="str">
        <x:v>Olga</x:v>
      </x:c>
    </x:row>
    <x:row r="17">
      <x:c r="A17" t="str">
        <x:v>D-2013</x:v>
      </x:c>
      <x:c r="B17" t="str">
        <x:v>C-1064</x:v>
      </x:c>
      <x:c r="C17" t="str">
        <x:v>CryptoDesk 64</x:v>
      </x:c>
      <x:c r="D17" t="str">
        <x:v>New</x:v>
      </x:c>
      <x:c r="E17" s="76" t="n">
        <x:v>11961.79</x:v>
      </x:c>
      <x:c r="F17" s="66" t="n">
        <x:v>0.1</x:v>
      </x:c>
      <x:c r="G17" s="38" t="n">
        <x:v>46175</x:v>
      </x:c>
      <x:c r="H17" t="str">
        <x:v>Anna</x:v>
      </x:c>
    </x:row>
    <x:row r="18">
      <x:c r="A18" t="str">
        <x:v>D-2014</x:v>
      </x:c>
      <x:c r="B18" t="str">
        <x:v>C-1067</x:v>
      </x:c>
      <x:c r="C18" t="str">
        <x:v>FitLife 67</x:v>
      </x:c>
      <x:c r="D18" t="str">
        <x:v>Qualified</x:v>
      </x:c>
      <x:c r="E18" s="76" t="n">
        <x:v>702.41</x:v>
      </x:c>
      <x:c r="F18" s="66" t="n">
        <x:v>0.25</x:v>
      </x:c>
      <x:c r="G18" s="38" t="n">
        <x:v>46106</x:v>
      </x:c>
      <x:c r="H18" t="str">
        <x:v>Sofia</x:v>
      </x:c>
    </x:row>
    <x:row r="19">
      <x:c r="A19" t="str">
        <x:v>D-2015</x:v>
      </x:c>
      <x:c r="B19" t="str">
        <x:v>C-1059</x:v>
      </x:c>
      <x:c r="C19" t="str">
        <x:v>BrightLabs 59</x:v>
      </x:c>
      <x:c r="D19" t="str">
        <x:v>Proposal</x:v>
      </x:c>
      <x:c r="E19" s="76" t="n">
        <x:v>10463.01</x:v>
      </x:c>
      <x:c r="F19" s="66" t="n">
        <x:v>0.45</x:v>
      </x:c>
      <x:c r="G19" s="38" t="n">
        <x:v>46067</x:v>
      </x:c>
      <x:c r="H19" t="str">
        <x:v>Anna</x:v>
      </x:c>
    </x:row>
    <x:row r="20">
      <x:c r="A20" t="str">
        <x:v>D-2016</x:v>
      </x:c>
      <x:c r="B20" t="str">
        <x:v>C-1058</x:v>
      </x:c>
      <x:c r="C20" t="str">
        <x:v>GreenHome 58</x:v>
      </x:c>
      <x:c r="D20" t="str">
        <x:v>New</x:v>
      </x:c>
      <x:c r="E20" s="76" t="n">
        <x:v>6960.34</x:v>
      </x:c>
      <x:c r="F20" s="66" t="n">
        <x:v>0.1</x:v>
      </x:c>
      <x:c r="G20" s="38" t="n">
        <x:v>46131</x:v>
      </x:c>
      <x:c r="H20" t="str">
        <x:v>Olga</x:v>
      </x:c>
    </x:row>
    <x:row r="21">
      <x:c r="A21" t="str">
        <x:v>D-2017</x:v>
      </x:c>
      <x:c r="B21" t="str">
        <x:v>C-1003</x:v>
      </x:c>
      <x:c r="C21" t="str">
        <x:v>Travelio 3</x:v>
      </x:c>
      <x:c r="D21" t="str">
        <x:v>Lost</x:v>
      </x:c>
      <x:c r="E21" s="76" t="n">
        <x:v>2435.08</x:v>
      </x:c>
      <x:c r="F21" s="66" t="n">
        <x:v>0</x:v>
      </x:c>
      <x:c r="G21" s="38" t="n">
        <x:v>46217</x:v>
      </x:c>
      <x:c r="H21" t="str">
        <x:v>Daria</x:v>
      </x:c>
    </x:row>
    <x:row r="22">
      <x:c r="A22" t="str">
        <x:v>D-2018</x:v>
      </x:c>
      <x:c r="B22" t="str">
        <x:v>C-1056</x:v>
      </x:c>
      <x:c r="C22" t="str">
        <x:v>CryptoDesk 56</x:v>
      </x:c>
      <x:c r="D22" t="str">
        <x:v>Negotiation</x:v>
      </x:c>
      <x:c r="E22" s="76" t="n">
        <x:v>12005.65</x:v>
      </x:c>
      <x:c r="F22" s="66" t="n">
        <x:v>0.65</x:v>
      </x:c>
      <x:c r="G22" s="38" t="n">
        <x:v>46192</x:v>
      </x:c>
      <x:c r="H22" t="str">
        <x:v>Daria</x:v>
      </x:c>
    </x:row>
    <x:row r="23">
      <x:c r="A23" t="str">
        <x:v>D-2019</x:v>
      </x:c>
      <x:c r="B23" t="str">
        <x:v>C-1012</x:v>
      </x:c>
      <x:c r="C23" t="str">
        <x:v>FoodBox 12</x:v>
      </x:c>
      <x:c r="D23" t="str">
        <x:v>Proposal</x:v>
      </x:c>
      <x:c r="E23" s="76" t="n">
        <x:v>2035.78</x:v>
      </x:c>
      <x:c r="F23" s="66" t="n">
        <x:v>0.45</x:v>
      </x:c>
      <x:c r="G23" s="38" t="n">
        <x:v>46195</x:v>
      </x:c>
      <x:c r="H23" t="str">
        <x:v>Daria</x:v>
      </x:c>
    </x:row>
    <x:row r="24">
      <x:c r="A24" t="str">
        <x:v>D-2020</x:v>
      </x:c>
      <x:c r="B24" t="str">
        <x:v>C-1012</x:v>
      </x:c>
      <x:c r="C24" t="str">
        <x:v>FoodBox 12</x:v>
      </x:c>
      <x:c r="D24" t="str">
        <x:v>New</x:v>
      </x:c>
      <x:c r="E24" s="76" t="n">
        <x:v>12572.04</x:v>
      </x:c>
      <x:c r="F24" s="66" t="n">
        <x:v>0.1</x:v>
      </x:c>
      <x:c r="G24" s="38" t="n">
        <x:v>46217</x:v>
      </x:c>
      <x:c r="H24" t="str">
        <x:v>Elena</x:v>
      </x:c>
    </x:row>
    <x:row r="25">
      <x:c r="A25" t="str">
        <x:v>D-2021</x:v>
      </x:c>
      <x:c r="B25" t="str">
        <x:v>C-1080</x:v>
      </x:c>
      <x:c r="C25" t="str">
        <x:v>EduPro 80</x:v>
      </x:c>
      <x:c r="D25" t="str">
        <x:v>Negotiation</x:v>
      </x:c>
      <x:c r="E25" s="76" t="n">
        <x:v>3387.53</x:v>
      </x:c>
      <x:c r="F25" s="66" t="n">
        <x:v>0.65</x:v>
      </x:c>
      <x:c r="G25" s="38" t="n">
        <x:v>46073</x:v>
      </x:c>
      <x:c r="H25" t="str">
        <x:v>Maria</x:v>
      </x:c>
    </x:row>
    <x:row r="26">
      <x:c r="A26" t="str">
        <x:v>D-2022</x:v>
      </x:c>
      <x:c r="B26" t="str">
        <x:v>C-1029</x:v>
      </x:c>
      <x:c r="C26" t="str">
        <x:v>RealEstate Pro 29</x:v>
      </x:c>
      <x:c r="D26" t="str">
        <x:v>Qualified</x:v>
      </x:c>
      <x:c r="E26" s="76" t="n">
        <x:v>6877.78</x:v>
      </x:c>
      <x:c r="F26" s="66" t="n">
        <x:v>0.25</x:v>
      </x:c>
      <x:c r="G26" s="38" t="n">
        <x:v>46073</x:v>
      </x:c>
      <x:c r="H26" t="str">
        <x:v>Daria</x:v>
      </x:c>
    </x:row>
    <x:row r="27">
      <x:c r="A27" t="str">
        <x:v>D-2023</x:v>
      </x:c>
      <x:c r="B27" t="str">
        <x:v>C-1074</x:v>
      </x:c>
      <x:c r="C27" t="str">
        <x:v>EduPro 74</x:v>
      </x:c>
      <x:c r="D27" t="str">
        <x:v>Qualified</x:v>
      </x:c>
      <x:c r="E27" s="76" t="n">
        <x:v>13350.1</x:v>
      </x:c>
      <x:c r="F27" s="66" t="n">
        <x:v>0.25</x:v>
      </x:c>
      <x:c r="G27" s="38" t="n">
        <x:v>46212</x:v>
      </x:c>
      <x:c r="H27" t="str">
        <x:v>Sofia</x:v>
      </x:c>
    </x:row>
    <x:row r="28">
      <x:c r="A28" t="str">
        <x:v>D-2024</x:v>
      </x:c>
      <x:c r="B28" t="str">
        <x:v>C-1047</x:v>
      </x:c>
      <x:c r="C28" t="str">
        <x:v>AutoFix 47</x:v>
      </x:c>
      <x:c r="D28" t="str">
        <x:v>Negotiation</x:v>
      </x:c>
      <x:c r="E28" s="76" t="n">
        <x:v>6874.56</x:v>
      </x:c>
      <x:c r="F28" s="66" t="n">
        <x:v>0.65</x:v>
      </x:c>
      <x:c r="G28" s="38" t="n">
        <x:v>46077</x:v>
      </x:c>
      <x:c r="H28" t="str">
        <x:v>Anna</x:v>
      </x:c>
    </x:row>
    <x:row r="29">
      <x:c r="A29" t="str">
        <x:v>D-2025</x:v>
      </x:c>
      <x:c r="B29" t="str">
        <x:v>C-1023</x:v>
      </x:c>
      <x:c r="C29" t="str">
        <x:v>FinCraft 23</x:v>
      </x:c>
      <x:c r="D29" t="str">
        <x:v>Qualified</x:v>
      </x:c>
      <x:c r="E29" s="76" t="n">
        <x:v>12457.4</x:v>
      </x:c>
      <x:c r="F29" s="66" t="n">
        <x:v>0.25</x:v>
      </x:c>
      <x:c r="G29" s="38" t="n">
        <x:v>46232</x:v>
      </x:c>
      <x:c r="H29" t="str">
        <x:v>Elena</x:v>
      </x:c>
    </x:row>
    <x:row r="30">
      <x:c r="A30" t="str">
        <x:v>D-2026</x:v>
      </x:c>
      <x:c r="B30" t="str">
        <x:v>C-1032</x:v>
      </x:c>
      <x:c r="C30" t="str">
        <x:v>AutoFix 32</x:v>
      </x:c>
      <x:c r="D30" t="str">
        <x:v>Proposal</x:v>
      </x:c>
      <x:c r="E30" s="76" t="n">
        <x:v>630.9</x:v>
      </x:c>
      <x:c r="F30" s="66" t="n">
        <x:v>0.45</x:v>
      </x:c>
      <x:c r="G30" s="38" t="n">
        <x:v>46109</x:v>
      </x:c>
      <x:c r="H30" t="str">
        <x:v>Olga</x:v>
      </x:c>
    </x:row>
    <x:row r="31">
      <x:c r="A31" t="str">
        <x:v>D-2027</x:v>
      </x:c>
      <x:c r="B31" t="str">
        <x:v>C-1019</x:v>
      </x:c>
      <x:c r="C31" t="str">
        <x:v>LogiTrans 19</x:v>
      </x:c>
      <x:c r="D31" t="str">
        <x:v>New</x:v>
      </x:c>
      <x:c r="E31" s="76" t="n">
        <x:v>12075.03</x:v>
      </x:c>
      <x:c r="F31" s="66" t="n">
        <x:v>0.1</x:v>
      </x:c>
      <x:c r="G31" s="38" t="n">
        <x:v>46159</x:v>
      </x:c>
      <x:c r="H31" t="str">
        <x:v>Maria</x:v>
      </x:c>
    </x:row>
    <x:row r="32">
      <x:c r="A32" t="str">
        <x:v>D-2028</x:v>
      </x:c>
      <x:c r="B32" t="str">
        <x:v>C-1079</x:v>
      </x:c>
      <x:c r="C32" t="str">
        <x:v>EduPro 79</x:v>
      </x:c>
      <x:c r="D32" t="str">
        <x:v>New</x:v>
      </x:c>
      <x:c r="E32" s="76" t="n">
        <x:v>13017.71</x:v>
      </x:c>
      <x:c r="F32" s="66" t="n">
        <x:v>0.1</x:v>
      </x:c>
      <x:c r="G32" s="38" t="n">
        <x:v>46127</x:v>
      </x:c>
      <x:c r="H32" t="str">
        <x:v>Sofia</x:v>
      </x:c>
    </x:row>
    <x:row r="33">
      <x:c r="A33" t="str">
        <x:v>D-2029</x:v>
      </x:c>
      <x:c r="B33" t="str">
        <x:v>C-1027</x:v>
      </x:c>
      <x:c r="C33" t="str">
        <x:v>FitLife 27</x:v>
      </x:c>
      <x:c r="D33" t="str">
        <x:v>Qualified</x:v>
      </x:c>
      <x:c r="E33" s="76" t="n">
        <x:v>6365.82</x:v>
      </x:c>
      <x:c r="F33" s="66" t="n">
        <x:v>0.25</x:v>
      </x:c>
      <x:c r="G33" s="38" t="n">
        <x:v>46227</x:v>
      </x:c>
      <x:c r="H33" t="str">
        <x:v>Maria</x:v>
      </x:c>
    </x:row>
    <x:row r="34">
      <x:c r="A34" t="str">
        <x:v>D-2030</x:v>
      </x:c>
      <x:c r="B34" t="str">
        <x:v>C-1063</x:v>
      </x:c>
      <x:c r="C34" t="str">
        <x:v>DataPulse 63</x:v>
      </x:c>
      <x:c r="D34" t="str">
        <x:v>Negotiation</x:v>
      </x:c>
      <x:c r="E34" s="76" t="n">
        <x:v>10674.27</x:v>
      </x:c>
      <x:c r="F34" s="66" t="n">
        <x:v>0.65</x:v>
      </x:c>
      <x:c r="G34" s="38" t="n">
        <x:v>46062</x:v>
      </x:c>
      <x:c r="H34" t="str">
        <x:v>Maria</x:v>
      </x:c>
    </x:row>
    <x:row r="35">
      <x:c r="A35" t="str">
        <x:v>D-2031</x:v>
      </x:c>
      <x:c r="B35" t="str">
        <x:v>C-1062</x:v>
      </x:c>
      <x:c r="C35" t="str">
        <x:v>RealEstate Pro 62</x:v>
      </x:c>
      <x:c r="D35" t="str">
        <x:v>Qualified</x:v>
      </x:c>
      <x:c r="E35" s="76" t="n">
        <x:v>13102.98</x:v>
      </x:c>
      <x:c r="F35" s="66" t="n">
        <x:v>0.25</x:v>
      </x:c>
      <x:c r="G35" s="38" t="n">
        <x:v>46111</x:v>
      </x:c>
      <x:c r="H35" t="str">
        <x:v>Maria</x:v>
      </x:c>
    </x:row>
    <x:row r="36">
      <x:c r="A36" t="str">
        <x:v>D-2032</x:v>
      </x:c>
      <x:c r="B36" t="str">
        <x:v>C-1010</x:v>
      </x:c>
      <x:c r="C36" t="str">
        <x:v>BeautyLab 10</x:v>
      </x:c>
      <x:c r="D36" t="str">
        <x:v>Qualified</x:v>
      </x:c>
      <x:c r="E36" s="76" t="n">
        <x:v>14334.89</x:v>
      </x:c>
      <x:c r="F36" s="66" t="n">
        <x:v>0.25</x:v>
      </x:c>
      <x:c r="G36" s="38" t="n">
        <x:v>46180</x:v>
      </x:c>
      <x:c r="H36" t="str">
        <x:v>Olga</x:v>
      </x:c>
    </x:row>
    <x:row r="37">
      <x:c r="A37" t="str">
        <x:v>D-2033</x:v>
      </x:c>
      <x:c r="B37" t="str">
        <x:v>C-1039</x:v>
      </x:c>
      <x:c r="C37" t="str">
        <x:v>HealthPlus 39</x:v>
      </x:c>
      <x:c r="D37" t="str">
        <x:v>Qualified</x:v>
      </x:c>
      <x:c r="E37" s="76" t="n">
        <x:v>9597.67</x:v>
      </x:c>
      <x:c r="F37" s="66" t="n">
        <x:v>0.25</x:v>
      </x:c>
      <x:c r="G37" s="38" t="n">
        <x:v>46067</x:v>
      </x:c>
      <x:c r="H37" t="str">
        <x:v>Daria</x:v>
      </x:c>
    </x:row>
    <x:row r="38">
      <x:c r="A38" t="str">
        <x:v>D-2034</x:v>
      </x:c>
      <x:c r="B38" t="str">
        <x:v>C-1001</x:v>
      </x:c>
      <x:c r="C38" t="str">
        <x:v>Travelio 1</x:v>
      </x:c>
      <x:c r="D38" t="str">
        <x:v>Qualified</x:v>
      </x:c>
      <x:c r="E38" s="76" t="n">
        <x:v>11671.98</x:v>
      </x:c>
      <x:c r="F38" s="66" t="n">
        <x:v>0.25</x:v>
      </x:c>
      <x:c r="G38" s="38" t="n">
        <x:v>46155</x:v>
      </x:c>
      <x:c r="H38" t="str">
        <x:v>Daria</x:v>
      </x:c>
    </x:row>
    <x:row r="39">
      <x:c r="A39" t="str">
        <x:v>D-2035</x:v>
      </x:c>
      <x:c r="B39" t="str">
        <x:v>C-1015</x:v>
      </x:c>
      <x:c r="C39" t="str">
        <x:v>GreenHome 15</x:v>
      </x:c>
      <x:c r="D39" t="str">
        <x:v>Qualified</x:v>
      </x:c>
      <x:c r="E39" s="76" t="n">
        <x:v>9053.09</x:v>
      </x:c>
      <x:c r="F39" s="66" t="n">
        <x:v>0.25</x:v>
      </x:c>
      <x:c r="G39" s="38" t="n">
        <x:v>46151</x:v>
      </x:c>
      <x:c r="H39" t="str">
        <x:v>Elena</x:v>
      </x:c>
    </x:row>
    <x:row r="40">
      <x:c r="A40" t="str">
        <x:v>D-2036</x:v>
      </x:c>
      <x:c r="B40" t="str">
        <x:v>C-1026</x:v>
      </x:c>
      <x:c r="C40" t="str">
        <x:v>FoodBox 26</x:v>
      </x:c>
      <x:c r="D40" t="str">
        <x:v>Proposal</x:v>
      </x:c>
      <x:c r="E40" s="76" t="n">
        <x:v>5026.73</x:v>
      </x:c>
      <x:c r="F40" s="66" t="n">
        <x:v>0.45</x:v>
      </x:c>
      <x:c r="G40" s="38" t="n">
        <x:v>46114</x:v>
      </x:c>
      <x:c r="H40" t="str">
        <x:v>Sofia</x:v>
      </x:c>
    </x:row>
    <x:row r="41">
      <x:c r="A41" t="str">
        <x:v>D-2037</x:v>
      </x:c>
      <x:c r="B41" t="str">
        <x:v>C-1037</x:v>
      </x:c>
      <x:c r="C41" t="str">
        <x:v>FreshMarket 37</x:v>
      </x:c>
      <x:c r="D41" t="str">
        <x:v>New</x:v>
      </x:c>
      <x:c r="E41" s="76" t="n">
        <x:v>10581.8</x:v>
      </x:c>
      <x:c r="F41" s="66" t="n">
        <x:v>0.1</x:v>
      </x:c>
      <x:c r="G41" s="38" t="n">
        <x:v>46184</x:v>
      </x:c>
      <x:c r="H41" t="str">
        <x:v>Anna</x:v>
      </x:c>
    </x:row>
    <x:row r="42">
      <x:c r="A42" t="str">
        <x:v>D-2038</x:v>
      </x:c>
      <x:c r="B42" t="str">
        <x:v>C-1047</x:v>
      </x:c>
      <x:c r="C42" t="str">
        <x:v>AutoFix 47</x:v>
      </x:c>
      <x:c r="D42" t="str">
        <x:v>Won</x:v>
      </x:c>
      <x:c r="E42" s="76" t="n">
        <x:v>11240.71</x:v>
      </x:c>
      <x:c r="F42" s="66" t="n">
        <x:v>1</x:v>
      </x:c>
      <x:c r="G42" s="38" t="n">
        <x:v>46214</x:v>
      </x:c>
      <x:c r="H42" t="str">
        <x:v>Sofia</x:v>
      </x:c>
    </x:row>
    <x:row r="43">
      <x:c r="A43" t="str">
        <x:v>D-2039</x:v>
      </x:c>
      <x:c r="B43" t="str">
        <x:v>C-1052</x:v>
      </x:c>
      <x:c r="C43" t="str">
        <x:v>FreshMarket 52</x:v>
      </x:c>
      <x:c r="D43" t="str">
        <x:v>Qualified</x:v>
      </x:c>
      <x:c r="E43" s="76" t="n">
        <x:v>14576.51</x:v>
      </x:c>
      <x:c r="F43" s="66" t="n">
        <x:v>0.25</x:v>
      </x:c>
      <x:c r="G43" s="38" t="n">
        <x:v>46094</x:v>
      </x:c>
      <x:c r="H43" t="str">
        <x:v>Sofia</x:v>
      </x:c>
    </x:row>
    <x:row r="44">
      <x:c r="A44" t="str">
        <x:v>D-2040</x:v>
      </x:c>
      <x:c r="B44" t="str">
        <x:v>C-1028</x:v>
      </x:c>
      <x:c r="C44" t="str">
        <x:v>HealthPlus 28</x:v>
      </x:c>
      <x:c r="D44" t="str">
        <x:v>Proposal</x:v>
      </x:c>
      <x:c r="E44" s="76" t="n">
        <x:v>4902.51</x:v>
      </x:c>
      <x:c r="F44" s="66" t="n">
        <x:v>0.45</x:v>
      </x:c>
      <x:c r="G44" s="38" t="n">
        <x:v>46073</x:v>
      </x:c>
      <x:c r="H44" t="str">
        <x:v>Elena</x:v>
      </x:c>
    </x:row>
    <x:row r="45">
      <x:c r="A45" t="str">
        <x:v>D-2041</x:v>
      </x:c>
      <x:c r="B45" t="str">
        <x:v>C-1068</x:v>
      </x:c>
      <x:c r="C45" t="str">
        <x:v>BeautyLab 68</x:v>
      </x:c>
      <x:c r="D45" t="str">
        <x:v>Proposal</x:v>
      </x:c>
      <x:c r="E45" s="76" t="n">
        <x:v>13761.84</x:v>
      </x:c>
      <x:c r="F45" s="66" t="n">
        <x:v>0.45</x:v>
      </x:c>
      <x:c r="G45" s="38" t="n">
        <x:v>46145</x:v>
      </x:c>
      <x:c r="H45" t="str">
        <x:v>Sofia</x:v>
      </x:c>
    </x:row>
    <x:row r="46">
      <x:c r="A46" t="str">
        <x:v>D-2042</x:v>
      </x:c>
      <x:c r="B46" t="str">
        <x:v>C-1057</x:v>
      </x:c>
      <x:c r="C46" t="str">
        <x:v>RealEstate Pro 57</x:v>
      </x:c>
      <x:c r="D46" t="str">
        <x:v>Qualified</x:v>
      </x:c>
      <x:c r="E46" s="76" t="n">
        <x:v>9220.14</x:v>
      </x:c>
      <x:c r="F46" s="66" t="n">
        <x:v>0.25</x:v>
      </x:c>
      <x:c r="G46" s="38" t="n">
        <x:v>46079</x:v>
      </x:c>
      <x:c r="H46" t="str">
        <x:v>Maria</x:v>
      </x:c>
    </x:row>
    <x:row r="47">
      <x:c r="A47" t="str">
        <x:v>D-2043</x:v>
      </x:c>
      <x:c r="B47" t="str">
        <x:v>C-1075</x:v>
      </x:c>
      <x:c r="C47" t="str">
        <x:v>EduPro 75</x:v>
      </x:c>
      <x:c r="D47" t="str">
        <x:v>Won</x:v>
      </x:c>
      <x:c r="E47" s="76" t="n">
        <x:v>4168.08</x:v>
      </x:c>
      <x:c r="F47" s="66" t="n">
        <x:v>1</x:v>
      </x:c>
      <x:c r="G47" s="38" t="n">
        <x:v>46221</x:v>
      </x:c>
      <x:c r="H47" t="str">
        <x:v>Elena</x:v>
      </x:c>
    </x:row>
    <x:row r="48">
      <x:c r="A48" t="str">
        <x:v>D-2044</x:v>
      </x:c>
      <x:c r="B48" t="str">
        <x:v>C-1039</x:v>
      </x:c>
      <x:c r="C48" t="str">
        <x:v>HealthPlus 39</x:v>
      </x:c>
      <x:c r="D48" t="str">
        <x:v>Proposal</x:v>
      </x:c>
      <x:c r="E48" s="76" t="n">
        <x:v>13601.71</x:v>
      </x:c>
      <x:c r="F48" s="66" t="n">
        <x:v>0.45</x:v>
      </x:c>
      <x:c r="G48" s="38" t="n">
        <x:v>46167</x:v>
      </x:c>
      <x:c r="H48" t="str">
        <x:v>Maria</x:v>
      </x:c>
    </x:row>
    <x:row r="49">
      <x:c r="A49" t="str">
        <x:v>D-2045</x:v>
      </x:c>
      <x:c r="B49" t="str">
        <x:v>C-1067</x:v>
      </x:c>
      <x:c r="C49" t="str">
        <x:v>FitLife 67</x:v>
      </x:c>
      <x:c r="D49" t="str">
        <x:v>Lost</x:v>
      </x:c>
      <x:c r="E49" s="76" t="n">
        <x:v>4920.75</x:v>
      </x:c>
      <x:c r="F49" s="66" t="n">
        <x:v>0</x:v>
      </x:c>
      <x:c r="G49" s="38" t="n">
        <x:v>46203</x:v>
      </x:c>
      <x:c r="H49" t="str">
        <x:v>Anna</x:v>
      </x:c>
    </x:row>
    <x:row r="50">
      <x:c r="A50" t="str">
        <x:v>D-2046</x:v>
      </x:c>
      <x:c r="B50" t="str">
        <x:v>C-1041</x:v>
      </x:c>
      <x:c r="C50" t="str">
        <x:v>GreenHome 41</x:v>
      </x:c>
      <x:c r="D50" t="str">
        <x:v>Negotiation</x:v>
      </x:c>
      <x:c r="E50" s="76" t="n">
        <x:v>8961.12</x:v>
      </x:c>
      <x:c r="F50" s="66" t="n">
        <x:v>0.65</x:v>
      </x:c>
      <x:c r="G50" s="38" t="n">
        <x:v>46188</x:v>
      </x:c>
      <x:c r="H50" t="str">
        <x:v>Olga</x:v>
      </x:c>
    </x:row>
    <x:row r="51">
      <x:c r="A51" t="str">
        <x:v>D-2047</x:v>
      </x:c>
      <x:c r="B51" t="str">
        <x:v>C-1075</x:v>
      </x:c>
      <x:c r="C51" t="str">
        <x:v>EduPro 75</x:v>
      </x:c>
      <x:c r="D51" t="str">
        <x:v>Lost</x:v>
      </x:c>
      <x:c r="E51" s="76" t="n">
        <x:v>12103.83</x:v>
      </x:c>
      <x:c r="F51" s="66" t="n">
        <x:v>0</x:v>
      </x:c>
      <x:c r="G51" s="38" t="n">
        <x:v>46184</x:v>
      </x:c>
      <x:c r="H51" t="str">
        <x:v>Anna</x:v>
      </x:c>
    </x:row>
    <x:row r="52">
      <x:c r="A52" t="str">
        <x:v>D-2048</x:v>
      </x:c>
      <x:c r="B52" t="str">
        <x:v>C-1007</x:v>
      </x:c>
      <x:c r="C52" t="str">
        <x:v>FinCraft 7</x:v>
      </x:c>
      <x:c r="D52" t="str">
        <x:v>Qualified</x:v>
      </x:c>
      <x:c r="E52" s="76" t="n">
        <x:v>7426.02</x:v>
      </x:c>
      <x:c r="F52" s="66" t="n">
        <x:v>0.25</x:v>
      </x:c>
      <x:c r="G52" s="38" t="n">
        <x:v>46054</x:v>
      </x:c>
      <x:c r="H52" t="str">
        <x:v>Sofia</x:v>
      </x:c>
    </x:row>
    <x:row r="53">
      <x:c r="A53" t="str">
        <x:v>D-2049</x:v>
      </x:c>
      <x:c r="B53" t="str">
        <x:v>C-1077</x:v>
      </x:c>
      <x:c r="C53" t="str">
        <x:v>FinCraft 77</x:v>
      </x:c>
      <x:c r="D53" t="str">
        <x:v>Qualified</x:v>
      </x:c>
      <x:c r="E53" s="76" t="n">
        <x:v>3805.55</x:v>
      </x:c>
      <x:c r="F53" s="66" t="n">
        <x:v>0.25</x:v>
      </x:c>
      <x:c r="G53" s="38" t="n">
        <x:v>46169</x:v>
      </x:c>
      <x:c r="H53" t="str">
        <x:v>Daria</x:v>
      </x:c>
    </x:row>
    <x:row r="54">
      <x:c r="A54" t="str">
        <x:v>D-2050</x:v>
      </x:c>
      <x:c r="B54" t="str">
        <x:v>C-1068</x:v>
      </x:c>
      <x:c r="C54" t="str">
        <x:v>BeautyLab 68</x:v>
      </x:c>
      <x:c r="D54" t="str">
        <x:v>Lost</x:v>
      </x:c>
      <x:c r="E54" s="76" t="n">
        <x:v>7088.35</x:v>
      </x:c>
      <x:c r="F54" s="66" t="n">
        <x:v>0</x:v>
      </x:c>
      <x:c r="G54" s="38" t="n">
        <x:v>46132</x:v>
      </x:c>
      <x:c r="H54" t="str">
        <x:v>Elena</x:v>
      </x:c>
    </x:row>
    <x:row r="55">
      <x:c r="A55" t="str">
        <x:v>D-2051</x:v>
      </x:c>
      <x:c r="B55" t="str">
        <x:v>C-1080</x:v>
      </x:c>
      <x:c r="C55" t="str">
        <x:v>EduPro 80</x:v>
      </x:c>
      <x:c r="D55" t="str">
        <x:v>Proposal</x:v>
      </x:c>
      <x:c r="E55" s="76" t="n">
        <x:v>6015.08</x:v>
      </x:c>
      <x:c r="F55" s="66" t="n">
        <x:v>0.45</x:v>
      </x:c>
      <x:c r="G55" s="38" t="n">
        <x:v>46234</x:v>
      </x:c>
      <x:c r="H55" t="str">
        <x:v>Maria</x:v>
      </x:c>
    </x:row>
    <x:row r="56">
      <x:c r="A56" t="str">
        <x:v>D-2052</x:v>
      </x:c>
      <x:c r="B56" t="str">
        <x:v>C-1078</x:v>
      </x:c>
      <x:c r="C56" t="str">
        <x:v>Travelio 78</x:v>
      </x:c>
      <x:c r="D56" t="str">
        <x:v>Qualified</x:v>
      </x:c>
      <x:c r="E56" s="76" t="n">
        <x:v>14440.53</x:v>
      </x:c>
      <x:c r="F56" s="66" t="n">
        <x:v>0.25</x:v>
      </x:c>
      <x:c r="G56" s="38" t="n">
        <x:v>46157</x:v>
      </x:c>
      <x:c r="H56" t="str">
        <x:v>Daria</x:v>
      </x:c>
    </x:row>
    <x:row r="57">
      <x:c r="A57" t="str">
        <x:v>D-2053</x:v>
      </x:c>
      <x:c r="B57" t="str">
        <x:v>C-1028</x:v>
      </x:c>
      <x:c r="C57" t="str">
        <x:v>HealthPlus 28</x:v>
      </x:c>
      <x:c r="D57" t="str">
        <x:v>Won</x:v>
      </x:c>
      <x:c r="E57" s="76" t="n">
        <x:v>8438.2</x:v>
      </x:c>
      <x:c r="F57" s="66" t="n">
        <x:v>1</x:v>
      </x:c>
      <x:c r="G57" s="38" t="n">
        <x:v>46054</x:v>
      </x:c>
      <x:c r="H57" t="str">
        <x:v>Olga</x:v>
      </x:c>
    </x:row>
    <x:row r="58">
      <x:c r="A58" t="str">
        <x:v>D-2054</x:v>
      </x:c>
      <x:c r="B58" t="str">
        <x:v>C-1050</x:v>
      </x:c>
      <x:c r="C58" t="str">
        <x:v>EduPro 50</x:v>
      </x:c>
      <x:c r="D58" t="str">
        <x:v>New</x:v>
      </x:c>
      <x:c r="E58" s="76" t="n">
        <x:v>5636.43</x:v>
      </x:c>
      <x:c r="F58" s="66" t="n">
        <x:v>0.1</x:v>
      </x:c>
      <x:c r="G58" s="38" t="n">
        <x:v>46171</x:v>
      </x:c>
      <x:c r="H58" t="str">
        <x:v>Olga</x:v>
      </x:c>
    </x:row>
    <x:row r="59">
      <x:c r="A59" t="str">
        <x:v>D-2055</x:v>
      </x:c>
      <x:c r="B59" t="str">
        <x:v>C-1068</x:v>
      </x:c>
      <x:c r="C59" t="str">
        <x:v>BeautyLab 68</x:v>
      </x:c>
      <x:c r="D59" t="str">
        <x:v>New</x:v>
      </x:c>
      <x:c r="E59" s="76" t="n">
        <x:v>4431.89</x:v>
      </x:c>
      <x:c r="F59" s="66" t="n">
        <x:v>0.1</x:v>
      </x:c>
      <x:c r="G59" s="38" t="n">
        <x:v>46107</x:v>
      </x:c>
      <x:c r="H59" t="str">
        <x:v>Daria</x:v>
      </x:c>
    </x:row>
    <x:row r="60">
      <x:c r="A60" t="str">
        <x:v>D-2056</x:v>
      </x:c>
      <x:c r="B60" t="str">
        <x:v>C-1033</x:v>
      </x:c>
      <x:c r="C60" t="str">
        <x:v>Baltic Retail 33</x:v>
      </x:c>
      <x:c r="D60" t="str">
        <x:v>Proposal</x:v>
      </x:c>
      <x:c r="E60" s="76" t="n">
        <x:v>2126.97</x:v>
      </x:c>
      <x:c r="F60" s="66" t="n">
        <x:v>0.45</x:v>
      </x:c>
      <x:c r="G60" s="38" t="n">
        <x:v>46177</x:v>
      </x:c>
      <x:c r="H60" t="str">
        <x:v>Olga</x:v>
      </x:c>
    </x:row>
    <x:row r="61">
      <x:c r="A61" t="str">
        <x:v>D-2057</x:v>
      </x:c>
      <x:c r="B61" t="str">
        <x:v>C-1003</x:v>
      </x:c>
      <x:c r="C61" t="str">
        <x:v>Travelio 3</x:v>
      </x:c>
      <x:c r="D61" t="str">
        <x:v>Proposal</x:v>
      </x:c>
      <x:c r="E61" s="76" t="n">
        <x:v>3789.41</x:v>
      </x:c>
      <x:c r="F61" s="66" t="n">
        <x:v>0.45</x:v>
      </x:c>
      <x:c r="G61" s="38" t="n">
        <x:v>46169</x:v>
      </x:c>
      <x:c r="H61" t="str">
        <x:v>Anna</x:v>
      </x:c>
    </x:row>
    <x:row r="62">
      <x:c r="A62" t="str">
        <x:v>D-2058</x:v>
      </x:c>
      <x:c r="B62" t="str">
        <x:v>C-1012</x:v>
      </x:c>
      <x:c r="C62" t="str">
        <x:v>FoodBox 12</x:v>
      </x:c>
      <x:c r="D62" t="str">
        <x:v>Negotiation</x:v>
      </x:c>
      <x:c r="E62" s="76" t="n">
        <x:v>5022.27</x:v>
      </x:c>
      <x:c r="F62" s="66" t="n">
        <x:v>0.65</x:v>
      </x:c>
      <x:c r="G62" s="38" t="n">
        <x:v>46176</x:v>
      </x:c>
      <x:c r="H62" t="str">
        <x:v>Daria</x:v>
      </x:c>
    </x:row>
    <x:row r="63">
      <x:c r="A63" t="str">
        <x:v>D-2059</x:v>
      </x:c>
      <x:c r="B63" t="str">
        <x:v>C-1077</x:v>
      </x:c>
      <x:c r="C63" t="str">
        <x:v>FinCraft 77</x:v>
      </x:c>
      <x:c r="D63" t="str">
        <x:v>Qualified</x:v>
      </x:c>
      <x:c r="E63" s="76" t="n">
        <x:v>9733.23</x:v>
      </x:c>
      <x:c r="F63" s="66" t="n">
        <x:v>0.25</x:v>
      </x:c>
      <x:c r="G63" s="38" t="n">
        <x:v>46085</x:v>
      </x:c>
      <x:c r="H63" t="str">
        <x:v>Elena</x:v>
      </x:c>
    </x:row>
    <x:row r="64">
      <x:c r="A64" t="str">
        <x:v>D-2060</x:v>
      </x:c>
      <x:c r="B64" t="str">
        <x:v>C-1002</x:v>
      </x:c>
      <x:c r="C64" t="str">
        <x:v>Nord Studio 2</x:v>
      </x:c>
      <x:c r="D64" t="str">
        <x:v>Qualified</x:v>
      </x:c>
      <x:c r="E64" s="76" t="n">
        <x:v>9325.57</x:v>
      </x:c>
      <x:c r="F64" s="66" t="n">
        <x:v>0.25</x:v>
      </x:c>
      <x:c r="G64" s="38" t="n">
        <x:v>46116</x:v>
      </x:c>
      <x:c r="H64" t="str">
        <x:v>Elena</x:v>
      </x:c>
    </x:row>
    <x:row r="65">
      <x:c r="A65" t="str">
        <x:v>D-2061</x:v>
      </x:c>
      <x:c r="B65" t="str">
        <x:v>C-1031</x:v>
      </x:c>
      <x:c r="C65" t="str">
        <x:v>DataPulse 31</x:v>
      </x:c>
      <x:c r="D65" t="str">
        <x:v>Qualified</x:v>
      </x:c>
      <x:c r="E65" s="76" t="n">
        <x:v>13248.78</x:v>
      </x:c>
      <x:c r="F65" s="66" t="n">
        <x:v>0.25</x:v>
      </x:c>
      <x:c r="G65" s="38" t="n">
        <x:v>46188</x:v>
      </x:c>
      <x:c r="H65" t="str">
        <x:v>Daria</x:v>
      </x:c>
    </x:row>
    <x:row r="66">
      <x:c r="A66" t="str">
        <x:v>D-2062</x:v>
      </x:c>
      <x:c r="B66" t="str">
        <x:v>C-1007</x:v>
      </x:c>
      <x:c r="C66" t="str">
        <x:v>FinCraft 7</x:v>
      </x:c>
      <x:c r="D66" t="str">
        <x:v>Qualified</x:v>
      </x:c>
      <x:c r="E66" s="76" t="n">
        <x:v>5834.75</x:v>
      </x:c>
      <x:c r="F66" s="66" t="n">
        <x:v>0.25</x:v>
      </x:c>
      <x:c r="G66" s="38" t="n">
        <x:v>46146</x:v>
      </x:c>
      <x:c r="H66" t="str">
        <x:v>Elena</x:v>
      </x:c>
    </x:row>
    <x:row r="67">
      <x:c r="A67" t="str">
        <x:v>D-2063</x:v>
      </x:c>
      <x:c r="B67" t="str">
        <x:v>C-1008</x:v>
      </x:c>
      <x:c r="C67" t="str">
        <x:v>FinCraft 8</x:v>
      </x:c>
      <x:c r="D67" t="str">
        <x:v>Qualified</x:v>
      </x:c>
      <x:c r="E67" s="76" t="n">
        <x:v>5631.67</x:v>
      </x:c>
      <x:c r="F67" s="66" t="n">
        <x:v>0.25</x:v>
      </x:c>
      <x:c r="G67" s="38" t="n">
        <x:v>46177</x:v>
      </x:c>
      <x:c r="H67" t="str">
        <x:v>Maria</x:v>
      </x:c>
    </x:row>
    <x:row r="68">
      <x:c r="A68" t="str">
        <x:v>D-2064</x:v>
      </x:c>
      <x:c r="B68" t="str">
        <x:v>C-1047</x:v>
      </x:c>
      <x:c r="C68" t="str">
        <x:v>AutoFix 47</x:v>
      </x:c>
      <x:c r="D68" t="str">
        <x:v>Qualified</x:v>
      </x:c>
      <x:c r="E68" s="76" t="n">
        <x:v>10903.96</x:v>
      </x:c>
      <x:c r="F68" s="66" t="n">
        <x:v>0.25</x:v>
      </x:c>
      <x:c r="G68" s="38" t="n">
        <x:v>46173</x:v>
      </x:c>
      <x:c r="H68" t="str">
        <x:v>Olga</x:v>
      </x:c>
    </x:row>
    <x:row r="69">
      <x:c r="A69" t="str">
        <x:v>D-2065</x:v>
      </x:c>
      <x:c r="B69" t="str">
        <x:v>C-1017</x:v>
      </x:c>
      <x:c r="C69" t="str">
        <x:v>Baltic Retail 17</x:v>
      </x:c>
      <x:c r="D69" t="str">
        <x:v>Won</x:v>
      </x:c>
      <x:c r="E69" s="76" t="n">
        <x:v>14056.24</x:v>
      </x:c>
      <x:c r="F69" s="66" t="n">
        <x:v>1</x:v>
      </x:c>
      <x:c r="G69" s="38" t="n">
        <x:v>46057</x:v>
      </x:c>
      <x:c r="H69" t="str">
        <x:v>Sofia</x:v>
      </x:c>
    </x:row>
    <x:row r="70">
      <x:c r="A70" t="str">
        <x:v>D-2066</x:v>
      </x:c>
      <x:c r="B70" t="str">
        <x:v>C-1012</x:v>
      </x:c>
      <x:c r="C70" t="str">
        <x:v>FoodBox 12</x:v>
      </x:c>
      <x:c r="D70" t="str">
        <x:v>Lost</x:v>
      </x:c>
      <x:c r="E70" s="76" t="n">
        <x:v>10959.63</x:v>
      </x:c>
      <x:c r="F70" s="66" t="n">
        <x:v>0</x:v>
      </x:c>
      <x:c r="G70" s="38" t="n">
        <x:v>46198</x:v>
      </x:c>
      <x:c r="H70" t="str">
        <x:v>Anna</x:v>
      </x:c>
    </x:row>
    <x:row r="71">
      <x:c r="A71" t="str">
        <x:v>D-2067</x:v>
      </x:c>
      <x:c r="B71" t="str">
        <x:v>C-1068</x:v>
      </x:c>
      <x:c r="C71" t="str">
        <x:v>BeautyLab 68</x:v>
      </x:c>
      <x:c r="D71" t="str">
        <x:v>New</x:v>
      </x:c>
      <x:c r="E71" s="76" t="n">
        <x:v>9169.23</x:v>
      </x:c>
      <x:c r="F71" s="66" t="n">
        <x:v>0.1</x:v>
      </x:c>
      <x:c r="G71" s="38" t="n">
        <x:v>46203</x:v>
      </x:c>
      <x:c r="H71" t="str">
        <x:v>Elena</x:v>
      </x:c>
    </x:row>
    <x:row r="72">
      <x:c r="A72" t="str">
        <x:v>D-2068</x:v>
      </x:c>
      <x:c r="B72" t="str">
        <x:v>C-1011</x:v>
      </x:c>
      <x:c r="C72" t="str">
        <x:v>CloudNine 11</x:v>
      </x:c>
      <x:c r="D72" t="str">
        <x:v>Won</x:v>
      </x:c>
      <x:c r="E72" s="76" t="n">
        <x:v>11120.62</x:v>
      </x:c>
      <x:c r="F72" s="66" t="n">
        <x:v>1</x:v>
      </x:c>
      <x:c r="G72" s="38" t="n">
        <x:v>46065</x:v>
      </x:c>
      <x:c r="H72" t="str">
        <x:v>Maria</x:v>
      </x:c>
    </x:row>
    <x:row r="73">
      <x:c r="A73" t="str">
        <x:v>D-2069</x:v>
      </x:c>
      <x:c r="B73" t="str">
        <x:v>C-1030</x:v>
      </x:c>
      <x:c r="C73" t="str">
        <x:v>EduPro 30</x:v>
      </x:c>
      <x:c r="D73" t="str">
        <x:v>Proposal</x:v>
      </x:c>
      <x:c r="E73" s="76" t="n">
        <x:v>1107.97</x:v>
      </x:c>
      <x:c r="F73" s="66" t="n">
        <x:v>0.45</x:v>
      </x:c>
      <x:c r="G73" s="38" t="n">
        <x:v>46156</x:v>
      </x:c>
      <x:c r="H73" t="str">
        <x:v>Sofia</x:v>
      </x:c>
    </x:row>
    <x:row r="74">
      <x:c r="A74" t="str">
        <x:v>D-2070</x:v>
      </x:c>
      <x:c r="B74" t="str">
        <x:v>C-1035</x:v>
      </x:c>
      <x:c r="C74" t="str">
        <x:v>Travelio 35</x:v>
      </x:c>
      <x:c r="D74" t="str">
        <x:v>New</x:v>
      </x:c>
      <x:c r="E74" s="76" t="n">
        <x:v>12301.17</x:v>
      </x:c>
      <x:c r="F74" s="66" t="n">
        <x:v>0.1</x:v>
      </x:c>
      <x:c r="G74" s="38" t="n">
        <x:v>46116</x:v>
      </x:c>
      <x:c r="H74" t="str">
        <x:v>Olga</x:v>
      </x:c>
    </x:row>
    <x:row r="75">
      <x:c r="A75" t="str">
        <x:v>D-2071</x:v>
      </x:c>
      <x:c r="B75" t="str">
        <x:v>C-1057</x:v>
      </x:c>
      <x:c r="C75" t="str">
        <x:v>RealEstate Pro 57</x:v>
      </x:c>
      <x:c r="D75" t="str">
        <x:v>Qualified</x:v>
      </x:c>
      <x:c r="E75" s="76" t="n">
        <x:v>14462.12</x:v>
      </x:c>
      <x:c r="F75" s="66" t="n">
        <x:v>0.25</x:v>
      </x:c>
      <x:c r="G75" s="38" t="n">
        <x:v>46172</x:v>
      </x:c>
      <x:c r="H75" t="str">
        <x:v>Olga</x:v>
      </x:c>
    </x:row>
    <x:row r="76">
      <x:c r="A76" t="str">
        <x:v>D-2072</x:v>
      </x:c>
      <x:c r="B76" t="str">
        <x:v>C-1039</x:v>
      </x:c>
      <x:c r="C76" t="str">
        <x:v>HealthPlus 39</x:v>
      </x:c>
      <x:c r="D76" t="str">
        <x:v>Proposal</x:v>
      </x:c>
      <x:c r="E76" s="76" t="n">
        <x:v>12031.48</x:v>
      </x:c>
      <x:c r="F76" s="66" t="n">
        <x:v>0.45</x:v>
      </x:c>
      <x:c r="G76" s="38" t="n">
        <x:v>46121</x:v>
      </x:c>
      <x:c r="H76" t="str">
        <x:v>Elena</x:v>
      </x:c>
    </x:row>
    <x:row r="77">
      <x:c r="A77" t="str">
        <x:v>D-2073</x:v>
      </x:c>
      <x:c r="B77" t="str">
        <x:v>C-1066</x:v>
      </x:c>
      <x:c r="C77" t="str">
        <x:v>BrightLabs 66</x:v>
      </x:c>
      <x:c r="D77" t="str">
        <x:v>Proposal</x:v>
      </x:c>
      <x:c r="E77" s="76" t="n">
        <x:v>6948.17</x:v>
      </x:c>
      <x:c r="F77" s="66" t="n">
        <x:v>0.45</x:v>
      </x:c>
      <x:c r="G77" s="38" t="n">
        <x:v>46221</x:v>
      </x:c>
      <x:c r="H77" t="str">
        <x:v>Daria</x:v>
      </x:c>
    </x:row>
    <x:row r="78">
      <x:c r="A78" t="str">
        <x:v>D-2074</x:v>
      </x:c>
      <x:c r="B78" t="str">
        <x:v>C-1080</x:v>
      </x:c>
      <x:c r="C78" t="str">
        <x:v>EduPro 80</x:v>
      </x:c>
      <x:c r="D78" t="str">
        <x:v>Won</x:v>
      </x:c>
      <x:c r="E78" s="76" t="n">
        <x:v>7723.32</x:v>
      </x:c>
      <x:c r="F78" s="66" t="n">
        <x:v>1</x:v>
      </x:c>
      <x:c r="G78" s="38" t="n">
        <x:v>46128</x:v>
      </x:c>
      <x:c r="H78" t="str">
        <x:v>Anna</x:v>
      </x:c>
    </x:row>
    <x:row r="79">
      <x:c r="A79" t="str">
        <x:v>D-2075</x:v>
      </x:c>
      <x:c r="B79" t="str">
        <x:v>C-1074</x:v>
      </x:c>
      <x:c r="C79" t="str">
        <x:v>EduPro 74</x:v>
      </x:c>
      <x:c r="D79" t="str">
        <x:v>Lost</x:v>
      </x:c>
      <x:c r="E79" s="76" t="n">
        <x:v>1862.64</x:v>
      </x:c>
      <x:c r="F79" s="66" t="n">
        <x:v>0</x:v>
      </x:c>
      <x:c r="G79" s="38" t="n">
        <x:v>46169</x:v>
      </x:c>
      <x:c r="H79" t="str">
        <x:v>Daria</x:v>
      </x:c>
    </x:row>
    <x:row r="80">
      <x:c r="A80" t="str">
        <x:v>D-2076</x:v>
      </x:c>
      <x:c r="B80" t="str">
        <x:v>C-1023</x:v>
      </x:c>
      <x:c r="C80" t="str">
        <x:v>FinCraft 23</x:v>
      </x:c>
      <x:c r="D80" t="str">
        <x:v>Qualified</x:v>
      </x:c>
      <x:c r="E80" s="76" t="n">
        <x:v>2156.37</x:v>
      </x:c>
      <x:c r="F80" s="66" t="n">
        <x:v>0.25</x:v>
      </x:c>
      <x:c r="G80" s="38" t="n">
        <x:v>46221</x:v>
      </x:c>
      <x:c r="H80" t="str">
        <x:v>Maria</x:v>
      </x:c>
    </x:row>
    <x:row r="81">
      <x:c r="A81" t="str">
        <x:v>D-2077</x:v>
      </x:c>
      <x:c r="B81" t="str">
        <x:v>C-1047</x:v>
      </x:c>
      <x:c r="C81" t="str">
        <x:v>AutoFix 47</x:v>
      </x:c>
      <x:c r="D81" t="str">
        <x:v>Proposal</x:v>
      </x:c>
      <x:c r="E81" s="76" t="n">
        <x:v>8248.7</x:v>
      </x:c>
      <x:c r="F81" s="66" t="n">
        <x:v>0.45</x:v>
      </x:c>
      <x:c r="G81" s="38" t="n">
        <x:v>46148</x:v>
      </x:c>
      <x:c r="H81" t="str">
        <x:v>Elena</x:v>
      </x:c>
    </x:row>
    <x:row r="82">
      <x:c r="A82" t="str">
        <x:v>D-2078</x:v>
      </x:c>
      <x:c r="B82" t="str">
        <x:v>C-1014</x:v>
      </x:c>
      <x:c r="C82" t="str">
        <x:v>CloudNine 14</x:v>
      </x:c>
      <x:c r="D82" t="str">
        <x:v>Proposal</x:v>
      </x:c>
      <x:c r="E82" s="76" t="n">
        <x:v>13976.4</x:v>
      </x:c>
      <x:c r="F82" s="66" t="n">
        <x:v>0.45</x:v>
      </x:c>
      <x:c r="G82" s="38" t="n">
        <x:v>46190</x:v>
      </x:c>
      <x:c r="H82" t="str">
        <x:v>Anna</x:v>
      </x:c>
    </x:row>
    <x:row r="83">
      <x:c r="A83" t="str">
        <x:v>D-2079</x:v>
      </x:c>
      <x:c r="B83" t="str">
        <x:v>C-1036</x:v>
      </x:c>
      <x:c r="C83" t="str">
        <x:v>FreshMarket 36</x:v>
      </x:c>
      <x:c r="D83" t="str">
        <x:v>Qualified</x:v>
      </x:c>
      <x:c r="E83" s="76" t="n">
        <x:v>10668.23</x:v>
      </x:c>
      <x:c r="F83" s="66" t="n">
        <x:v>0.25</x:v>
      </x:c>
      <x:c r="G83" s="38" t="n">
        <x:v>46106</x:v>
      </x:c>
      <x:c r="H83" t="str">
        <x:v>Sofia</x:v>
      </x:c>
    </x:row>
    <x:row r="84">
      <x:c r="A84" t="str">
        <x:v>D-2080</x:v>
      </x:c>
      <x:c r="B84" t="str">
        <x:v>C-1059</x:v>
      </x:c>
      <x:c r="C84" t="str">
        <x:v>BrightLabs 59</x:v>
      </x:c>
      <x:c r="D84" t="str">
        <x:v>Won</x:v>
      </x:c>
      <x:c r="E84" s="76" t="n">
        <x:v>4929.64</x:v>
      </x:c>
      <x:c r="F84" s="66" t="n">
        <x:v>1</x:v>
      </x:c>
      <x:c r="G84" s="38" t="n">
        <x:v>46111</x:v>
      </x:c>
      <x:c r="H84" t="str">
        <x:v>Olga</x:v>
      </x:c>
    </x:row>
    <x:row r="85">
      <x:c r="A85" t="str">
        <x:v>D-2081</x:v>
      </x:c>
      <x:c r="B85" t="str">
        <x:v>C-1071</x:v>
      </x:c>
      <x:c r="C85" t="str">
        <x:v>BeautyLab 71</x:v>
      </x:c>
      <x:c r="D85" t="str">
        <x:v>Won</x:v>
      </x:c>
      <x:c r="E85" s="76" t="n">
        <x:v>11666.58</x:v>
      </x:c>
      <x:c r="F85" s="66" t="n">
        <x:v>1</x:v>
      </x:c>
      <x:c r="G85" s="38" t="n">
        <x:v>46204</x:v>
      </x:c>
      <x:c r="H85" t="str">
        <x:v>Elena</x:v>
      </x:c>
    </x:row>
    <x:row r="86">
      <x:c r="A86" t="str">
        <x:v>D-2082</x:v>
      </x:c>
      <x:c r="B86" t="str">
        <x:v>C-1018</x:v>
      </x:c>
      <x:c r="C86" t="str">
        <x:v>Nord Studio 18</x:v>
      </x:c>
      <x:c r="D86" t="str">
        <x:v>Won</x:v>
      </x:c>
      <x:c r="E86" s="76" t="n">
        <x:v>12991.53</x:v>
      </x:c>
      <x:c r="F86" s="66" t="n">
        <x:v>1</x:v>
      </x:c>
      <x:c r="G86" s="38" t="n">
        <x:v>46217</x:v>
      </x:c>
      <x:c r="H86" t="str">
        <x:v>Olga</x:v>
      </x:c>
    </x:row>
    <x:row r="87">
      <x:c r="A87" t="str">
        <x:v>D-2083</x:v>
      </x:c>
      <x:c r="B87" t="str">
        <x:v>C-1003</x:v>
      </x:c>
      <x:c r="C87" t="str">
        <x:v>Travelio 3</x:v>
      </x:c>
      <x:c r="D87" t="str">
        <x:v>Won</x:v>
      </x:c>
      <x:c r="E87" s="76" t="n">
        <x:v>6873.15</x:v>
      </x:c>
      <x:c r="F87" s="66" t="n">
        <x:v>1</x:v>
      </x:c>
      <x:c r="G87" s="38" t="n">
        <x:v>46184</x:v>
      </x:c>
      <x:c r="H87" t="str">
        <x:v>Daria</x:v>
      </x:c>
    </x:row>
    <x:row r="88">
      <x:c r="A88" t="str">
        <x:v>D-2084</x:v>
      </x:c>
      <x:c r="B88" t="str">
        <x:v>C-1057</x:v>
      </x:c>
      <x:c r="C88" t="str">
        <x:v>RealEstate Pro 57</x:v>
      </x:c>
      <x:c r="D88" t="str">
        <x:v>Qualified</x:v>
      </x:c>
      <x:c r="E88" s="76" t="n">
        <x:v>2618.65</x:v>
      </x:c>
      <x:c r="F88" s="66" t="n">
        <x:v>0.25</x:v>
      </x:c>
      <x:c r="G88" s="38" t="n">
        <x:v>46215</x:v>
      </x:c>
      <x:c r="H88" t="str">
        <x:v>Sofia</x:v>
      </x:c>
    </x:row>
    <x:row r="89">
      <x:c r="A89" t="str">
        <x:v>D-2085</x:v>
      </x:c>
      <x:c r="B89" t="str">
        <x:v>C-1031</x:v>
      </x:c>
      <x:c r="C89" t="str">
        <x:v>DataPulse 31</x:v>
      </x:c>
      <x:c r="D89" t="str">
        <x:v>New</x:v>
      </x:c>
      <x:c r="E89" s="76" t="n">
        <x:v>8867.84</x:v>
      </x:c>
      <x:c r="F89" s="66" t="n">
        <x:v>0.1</x:v>
      </x:c>
      <x:c r="G89" s="38" t="n">
        <x:v>46189</x:v>
      </x:c>
      <x:c r="H89" t="str">
        <x:v>Daria</x:v>
      </x:c>
    </x:row>
    <x:row r="90">
      <x:c r="A90" t="str">
        <x:v>D-2086</x:v>
      </x:c>
      <x:c r="B90" t="str">
        <x:v>C-1051</x:v>
      </x:c>
      <x:c r="C90" t="str">
        <x:v>FitLife 51</x:v>
      </x:c>
      <x:c r="D90" t="str">
        <x:v>New</x:v>
      </x:c>
      <x:c r="E90" s="76" t="n">
        <x:v>980.61</x:v>
      </x:c>
      <x:c r="F90" s="66" t="n">
        <x:v>0.1</x:v>
      </x:c>
      <x:c r="G90" s="38" t="n">
        <x:v>46183</x:v>
      </x:c>
      <x:c r="H90" t="str">
        <x:v>Maria</x:v>
      </x:c>
    </x:row>
    <x:row r="91">
      <x:c r="A91" t="str">
        <x:v>D-2087</x:v>
      </x:c>
      <x:c r="B91" t="str">
        <x:v>C-1044</x:v>
      </x:c>
      <x:c r="C91" t="str">
        <x:v>FitLife 44</x:v>
      </x:c>
      <x:c r="D91" t="str">
        <x:v>Lost</x:v>
      </x:c>
      <x:c r="E91" s="76" t="n">
        <x:v>5497.56</x:v>
      </x:c>
      <x:c r="F91" s="66" t="n">
        <x:v>0</x:v>
      </x:c>
      <x:c r="G91" s="38" t="n">
        <x:v>46061</x:v>
      </x:c>
      <x:c r="H91" t="str">
        <x:v>Sofia</x:v>
      </x:c>
    </x:row>
    <x:row r="92">
      <x:c r="A92" t="str">
        <x:v>D-2088</x:v>
      </x:c>
      <x:c r="B92" t="str">
        <x:v>C-1042</x:v>
      </x:c>
      <x:c r="C92" t="str">
        <x:v>HealthPlus 42</x:v>
      </x:c>
      <x:c r="D92" t="str">
        <x:v>Proposal</x:v>
      </x:c>
      <x:c r="E92" s="76" t="n">
        <x:v>9293.31</x:v>
      </x:c>
      <x:c r="F92" s="66" t="n">
        <x:v>0.45</x:v>
      </x:c>
      <x:c r="G92" s="38" t="n">
        <x:v>46120</x:v>
      </x:c>
      <x:c r="H92" t="str">
        <x:v>Elena</x:v>
      </x:c>
    </x:row>
    <x:row r="93">
      <x:c r="A93" t="str">
        <x:v>D-2089</x:v>
      </x:c>
      <x:c r="B93" t="str">
        <x:v>C-1070</x:v>
      </x:c>
      <x:c r="C93" t="str">
        <x:v>AutoFix 70</x:v>
      </x:c>
      <x:c r="D93" t="str">
        <x:v>Proposal</x:v>
      </x:c>
      <x:c r="E93" s="76" t="n">
        <x:v>7552.92</x:v>
      </x:c>
      <x:c r="F93" s="66" t="n">
        <x:v>0.45</x:v>
      </x:c>
      <x:c r="G93" s="38" t="n">
        <x:v>46225</x:v>
      </x:c>
      <x:c r="H93" t="str">
        <x:v>Maria</x:v>
      </x:c>
    </x:row>
    <x:row r="94">
      <x:c r="A94" t="str">
        <x:v>D-2090</x:v>
      </x:c>
      <x:c r="B94" t="str">
        <x:v>C-1075</x:v>
      </x:c>
      <x:c r="C94" t="str">
        <x:v>EduPro 75</x:v>
      </x:c>
      <x:c r="D94" t="str">
        <x:v>Won</x:v>
      </x:c>
      <x:c r="E94" s="76" t="n">
        <x:v>1065.23</x:v>
      </x:c>
      <x:c r="F94" s="66" t="n">
        <x:v>1</x:v>
      </x:c>
      <x:c r="G94" s="38" t="n">
        <x:v>46097</x:v>
      </x:c>
      <x:c r="H94" t="str">
        <x:v>Elena</x:v>
      </x:c>
    </x:row>
    <x:row r="95">
      <x:c r="A95" t="str">
        <x:v>D-2091</x:v>
      </x:c>
      <x:c r="B95" t="str">
        <x:v>C-1045</x:v>
      </x:c>
      <x:c r="C95" t="str">
        <x:v>Nord Studio 45</x:v>
      </x:c>
      <x:c r="D95" t="str">
        <x:v>Qualified</x:v>
      </x:c>
      <x:c r="E95" s="76" t="n">
        <x:v>402.44</x:v>
      </x:c>
      <x:c r="F95" s="66" t="n">
        <x:v>0.25</x:v>
      </x:c>
      <x:c r="G95" s="38" t="n">
        <x:v>46197</x:v>
      </x:c>
      <x:c r="H95" t="str">
        <x:v>Anna</x:v>
      </x:c>
    </x:row>
    <x:row r="96">
      <x:c r="A96" t="str">
        <x:v>D-2092</x:v>
      </x:c>
      <x:c r="B96" t="str">
        <x:v>C-1027</x:v>
      </x:c>
      <x:c r="C96" t="str">
        <x:v>FitLife 27</x:v>
      </x:c>
      <x:c r="D96" t="str">
        <x:v>Won</x:v>
      </x:c>
      <x:c r="E96" s="76" t="n">
        <x:v>9880.43</x:v>
      </x:c>
      <x:c r="F96" s="66" t="n">
        <x:v>1</x:v>
      </x:c>
      <x:c r="G96" s="38" t="n">
        <x:v>46165</x:v>
      </x:c>
      <x:c r="H96" t="str">
        <x:v>Elena</x:v>
      </x:c>
    </x:row>
    <x:row r="97">
      <x:c r="A97" t="str">
        <x:v>D-2093</x:v>
      </x:c>
      <x:c r="B97" t="str">
        <x:v>C-1072</x:v>
      </x:c>
      <x:c r="C97" t="str">
        <x:v>CryptoDesk 72</x:v>
      </x:c>
      <x:c r="D97" t="str">
        <x:v>Qualified</x:v>
      </x:c>
      <x:c r="E97" s="76" t="n">
        <x:v>2342.2</x:v>
      </x:c>
      <x:c r="F97" s="66" t="n">
        <x:v>0.25</x:v>
      </x:c>
      <x:c r="G97" s="38" t="n">
        <x:v>46111</x:v>
      </x:c>
      <x:c r="H97" t="str">
        <x:v>Daria</x:v>
      </x:c>
    </x:row>
    <x:row r="98">
      <x:c r="A98" t="str">
        <x:v>D-2094</x:v>
      </x:c>
      <x:c r="B98" t="str">
        <x:v>C-1039</x:v>
      </x:c>
      <x:c r="C98" t="str">
        <x:v>HealthPlus 39</x:v>
      </x:c>
      <x:c r="D98" t="str">
        <x:v>Lost</x:v>
      </x:c>
      <x:c r="E98" s="76" t="n">
        <x:v>14176.6</x:v>
      </x:c>
      <x:c r="F98" s="66" t="n">
        <x:v>0</x:v>
      </x:c>
      <x:c r="G98" s="38" t="n">
        <x:v>46174</x:v>
      </x:c>
      <x:c r="H98" t="str">
        <x:v>Daria</x:v>
      </x:c>
    </x:row>
    <x:row r="99">
      <x:c r="A99" t="str">
        <x:v>D-2095</x:v>
      </x:c>
      <x:c r="B99" t="str">
        <x:v>C-1053</x:v>
      </x:c>
      <x:c r="C99" t="str">
        <x:v>Baltic Retail 53</x:v>
      </x:c>
      <x:c r="D99" t="str">
        <x:v>Proposal</x:v>
      </x:c>
      <x:c r="E99" s="76" t="n">
        <x:v>3667.39</x:v>
      </x:c>
      <x:c r="F99" s="66" t="n">
        <x:v>0.45</x:v>
      </x:c>
      <x:c r="G99" s="38" t="n">
        <x:v>46179</x:v>
      </x:c>
      <x:c r="H99" t="str">
        <x:v>Elena</x:v>
      </x:c>
    </x:row>
    <x:row r="100">
      <x:c r="A100" t="str">
        <x:v>D-2096</x:v>
      </x:c>
      <x:c r="B100" t="str">
        <x:v>C-1017</x:v>
      </x:c>
      <x:c r="C100" t="str">
        <x:v>Baltic Retail 17</x:v>
      </x:c>
      <x:c r="D100" t="str">
        <x:v>Proposal</x:v>
      </x:c>
      <x:c r="E100" s="76" t="n">
        <x:v>6308.64</x:v>
      </x:c>
      <x:c r="F100" s="66" t="n">
        <x:v>0.45</x:v>
      </x:c>
      <x:c r="G100" s="38" t="n">
        <x:v>46133</x:v>
      </x:c>
      <x:c r="H100" t="str">
        <x:v>Olga</x:v>
      </x:c>
    </x:row>
    <x:row r="101">
      <x:c r="A101" t="str">
        <x:v>D-2097</x:v>
      </x:c>
      <x:c r="B101" t="str">
        <x:v>C-1033</x:v>
      </x:c>
      <x:c r="C101" t="str">
        <x:v>Baltic Retail 33</x:v>
      </x:c>
      <x:c r="D101" t="str">
        <x:v>Negotiation</x:v>
      </x:c>
      <x:c r="E101" s="76" t="n">
        <x:v>7831.49</x:v>
      </x:c>
      <x:c r="F101" s="66" t="n">
        <x:v>0.65</x:v>
      </x:c>
      <x:c r="G101" s="38" t="n">
        <x:v>46093</x:v>
      </x:c>
      <x:c r="H101" t="str">
        <x:v>Sofia</x:v>
      </x:c>
    </x:row>
    <x:row r="102">
      <x:c r="A102" t="str">
        <x:v>D-2098</x:v>
      </x:c>
      <x:c r="B102" t="str">
        <x:v>C-1004</x:v>
      </x:c>
      <x:c r="C102" t="str">
        <x:v>RealEstate Pro 4</x:v>
      </x:c>
      <x:c r="D102" t="str">
        <x:v>Negotiation</x:v>
      </x:c>
      <x:c r="E102" s="76" t="n">
        <x:v>1364.59</x:v>
      </x:c>
      <x:c r="F102" s="66" t="n">
        <x:v>0.65</x:v>
      </x:c>
      <x:c r="G102" s="38" t="n">
        <x:v>46145</x:v>
      </x:c>
      <x:c r="H102" t="str">
        <x:v>Elena</x:v>
      </x:c>
    </x:row>
    <x:row r="103">
      <x:c r="A103" t="str">
        <x:v>D-2099</x:v>
      </x:c>
      <x:c r="B103" t="str">
        <x:v>C-1032</x:v>
      </x:c>
      <x:c r="C103" t="str">
        <x:v>AutoFix 32</x:v>
      </x:c>
      <x:c r="D103" t="str">
        <x:v>Qualified</x:v>
      </x:c>
      <x:c r="E103" s="76" t="n">
        <x:v>13017.25</x:v>
      </x:c>
      <x:c r="F103" s="66" t="n">
        <x:v>0.25</x:v>
      </x:c>
      <x:c r="G103" s="38" t="n">
        <x:v>46218</x:v>
      </x:c>
      <x:c r="H103" t="str">
        <x:v>Maria</x:v>
      </x:c>
    </x:row>
    <x:row r="104">
      <x:c r="A104" t="str">
        <x:v>D-2100</x:v>
      </x:c>
      <x:c r="B104" t="str">
        <x:v>C-1075</x:v>
      </x:c>
      <x:c r="C104" t="str">
        <x:v>EduPro 75</x:v>
      </x:c>
      <x:c r="D104" t="str">
        <x:v>Negotiation</x:v>
      </x:c>
      <x:c r="E104" s="76" t="n">
        <x:v>13059.55</x:v>
      </x:c>
      <x:c r="F104" s="66" t="n">
        <x:v>0.65</x:v>
      </x:c>
      <x:c r="G104" s="38" t="n">
        <x:v>46139</x:v>
      </x:c>
      <x:c r="H104" t="str">
        <x:v>Elena</x:v>
      </x:c>
    </x:row>
    <x:row r="105">
      <x:c r="A105" t="str">
        <x:v>D-2101</x:v>
      </x:c>
      <x:c r="B105" t="str">
        <x:v>C-1019</x:v>
      </x:c>
      <x:c r="C105" t="str">
        <x:v>LogiTrans 19</x:v>
      </x:c>
      <x:c r="D105" t="str">
        <x:v>Negotiation</x:v>
      </x:c>
      <x:c r="E105" s="76" t="n">
        <x:v>8847.5</x:v>
      </x:c>
      <x:c r="F105" s="66" t="n">
        <x:v>0.65</x:v>
      </x:c>
      <x:c r="G105" s="38" t="n">
        <x:v>46086</x:v>
      </x:c>
      <x:c r="H105" t="str">
        <x:v>Elena</x:v>
      </x:c>
    </x:row>
    <x:row r="106">
      <x:c r="A106" t="str">
        <x:v>D-2102</x:v>
      </x:c>
      <x:c r="B106" t="str">
        <x:v>C-1048</x:v>
      </x:c>
      <x:c r="C106" t="str">
        <x:v>HealthPlus 48</x:v>
      </x:c>
      <x:c r="D106" t="str">
        <x:v>Won</x:v>
      </x:c>
      <x:c r="E106" s="76" t="n">
        <x:v>11516.29</x:v>
      </x:c>
      <x:c r="F106" s="66" t="n">
        <x:v>1</x:v>
      </x:c>
      <x:c r="G106" s="38" t="n">
        <x:v>46126</x:v>
      </x:c>
      <x:c r="H106" t="str">
        <x:v>Sofia</x:v>
      </x:c>
    </x:row>
    <x:row r="107">
      <x:c r="A107" t="str">
        <x:v>D-2103</x:v>
      </x:c>
      <x:c r="B107" t="str">
        <x:v>C-1052</x:v>
      </x:c>
      <x:c r="C107" t="str">
        <x:v>FreshMarket 52</x:v>
      </x:c>
      <x:c r="D107" t="str">
        <x:v>Proposal</x:v>
      </x:c>
      <x:c r="E107" s="76" t="n">
        <x:v>6149.32</x:v>
      </x:c>
      <x:c r="F107" s="66" t="n">
        <x:v>0.45</x:v>
      </x:c>
      <x:c r="G107" s="38" t="n">
        <x:v>46145</x:v>
      </x:c>
      <x:c r="H107" t="str">
        <x:v>Elena</x:v>
      </x:c>
    </x:row>
    <x:row r="108">
      <x:c r="A108" t="str">
        <x:v>D-2104</x:v>
      </x:c>
      <x:c r="B108" t="str">
        <x:v>C-1036</x:v>
      </x:c>
      <x:c r="C108" t="str">
        <x:v>FreshMarket 36</x:v>
      </x:c>
      <x:c r="D108" t="str">
        <x:v>Negotiation</x:v>
      </x:c>
      <x:c r="E108" s="76" t="n">
        <x:v>3443.91</x:v>
      </x:c>
      <x:c r="F108" s="66" t="n">
        <x:v>0.65</x:v>
      </x:c>
      <x:c r="G108" s="38" t="n">
        <x:v>46077</x:v>
      </x:c>
      <x:c r="H108" t="str">
        <x:v>Daria</x:v>
      </x:c>
    </x:row>
    <x:row r="109">
      <x:c r="A109" t="str">
        <x:v>D-2105</x:v>
      </x:c>
      <x:c r="B109" t="str">
        <x:v>C-1011</x:v>
      </x:c>
      <x:c r="C109" t="str">
        <x:v>CloudNine 11</x:v>
      </x:c>
      <x:c r="D109" t="str">
        <x:v>Qualified</x:v>
      </x:c>
      <x:c r="E109" s="76" t="n">
        <x:v>14057.37</x:v>
      </x:c>
      <x:c r="F109" s="66" t="n">
        <x:v>0.25</x:v>
      </x:c>
      <x:c r="G109" s="38" t="n">
        <x:v>46105</x:v>
      </x:c>
      <x:c r="H109" t="str">
        <x:v>Daria</x:v>
      </x:c>
    </x:row>
    <x:row r="110">
      <x:c r="A110" t="str">
        <x:v>D-2106</x:v>
      </x:c>
      <x:c r="B110" t="str">
        <x:v>C-1074</x:v>
      </x:c>
      <x:c r="C110" t="str">
        <x:v>EduPro 74</x:v>
      </x:c>
      <x:c r="D110" t="str">
        <x:v>Proposal</x:v>
      </x:c>
      <x:c r="E110" s="76" t="n">
        <x:v>5000.79</x:v>
      </x:c>
      <x:c r="F110" s="66" t="n">
        <x:v>0.45</x:v>
      </x:c>
      <x:c r="G110" s="38" t="n">
        <x:v>46135</x:v>
      </x:c>
      <x:c r="H110" t="str">
        <x:v>Maria</x:v>
      </x:c>
    </x:row>
    <x:row r="111">
      <x:c r="A111" t="str">
        <x:v>D-2107</x:v>
      </x:c>
      <x:c r="B111" t="str">
        <x:v>C-1013</x:v>
      </x:c>
      <x:c r="C111" t="str">
        <x:v>Northwind 13</x:v>
      </x:c>
      <x:c r="D111" t="str">
        <x:v>Qualified</x:v>
      </x:c>
      <x:c r="E111" s="76" t="n">
        <x:v>594.38</x:v>
      </x:c>
      <x:c r="F111" s="66" t="n">
        <x:v>0.25</x:v>
      </x:c>
      <x:c r="G111" s="38" t="n">
        <x:v>46094</x:v>
      </x:c>
      <x:c r="H111" t="str">
        <x:v>Elena</x:v>
      </x:c>
    </x:row>
    <x:row r="112">
      <x:c r="A112" t="str">
        <x:v>D-2108</x:v>
      </x:c>
      <x:c r="B112" t="str">
        <x:v>C-1010</x:v>
      </x:c>
      <x:c r="C112" t="str">
        <x:v>BeautyLab 10</x:v>
      </x:c>
      <x:c r="D112" t="str">
        <x:v>Proposal</x:v>
      </x:c>
      <x:c r="E112" s="76" t="n">
        <x:v>9316.81</x:v>
      </x:c>
      <x:c r="F112" s="66" t="n">
        <x:v>0.45</x:v>
      </x:c>
      <x:c r="G112" s="38" t="n">
        <x:v>46185</x:v>
      </x:c>
      <x:c r="H112" t="str">
        <x:v>Daria</x:v>
      </x:c>
    </x:row>
    <x:row r="113">
      <x:c r="A113" t="str">
        <x:v>D-2109</x:v>
      </x:c>
      <x:c r="B113" t="str">
        <x:v>C-1018</x:v>
      </x:c>
      <x:c r="C113" t="str">
        <x:v>Nord Studio 18</x:v>
      </x:c>
      <x:c r="D113" t="str">
        <x:v>Qualified</x:v>
      </x:c>
      <x:c r="E113" s="76" t="n">
        <x:v>4150.18</x:v>
      </x:c>
      <x:c r="F113" s="66" t="n">
        <x:v>0.25</x:v>
      </x:c>
      <x:c r="G113" s="38" t="n">
        <x:v>46146</x:v>
      </x:c>
      <x:c r="H113" t="str">
        <x:v>Anna</x:v>
      </x:c>
    </x:row>
    <x:row r="114">
      <x:c r="A114" t="str">
        <x:v>D-2110</x:v>
      </x:c>
      <x:c r="B114" t="str">
        <x:v>C-1042</x:v>
      </x:c>
      <x:c r="C114" t="str">
        <x:v>HealthPlus 42</x:v>
      </x:c>
      <x:c r="D114" t="str">
        <x:v>Proposal</x:v>
      </x:c>
      <x:c r="E114" s="76" t="n">
        <x:v>537.48</x:v>
      </x:c>
      <x:c r="F114" s="66" t="n">
        <x:v>0.45</x:v>
      </x:c>
      <x:c r="G114" s="38" t="n">
        <x:v>46222</x:v>
      </x:c>
      <x:c r="H114" t="str">
        <x:v>Olga</x:v>
      </x:c>
    </x:row>
    <x:row r="115">
      <x:c r="A115" t="str">
        <x:v>D-2111</x:v>
      </x:c>
      <x:c r="B115" t="str">
        <x:v>C-1075</x:v>
      </x:c>
      <x:c r="C115" t="str">
        <x:v>EduPro 75</x:v>
      </x:c>
      <x:c r="D115" t="str">
        <x:v>Proposal</x:v>
      </x:c>
      <x:c r="E115" s="76" t="n">
        <x:v>3369.62</x:v>
      </x:c>
      <x:c r="F115" s="66" t="n">
        <x:v>0.45</x:v>
      </x:c>
      <x:c r="G115" s="38" t="n">
        <x:v>46156</x:v>
      </x:c>
      <x:c r="H115" t="str">
        <x:v>Elena</x:v>
      </x:c>
    </x:row>
    <x:row r="116">
      <x:c r="A116" t="str">
        <x:v>D-2112</x:v>
      </x:c>
      <x:c r="B116" t="str">
        <x:v>C-1053</x:v>
      </x:c>
      <x:c r="C116" t="str">
        <x:v>Baltic Retail 53</x:v>
      </x:c>
      <x:c r="D116" t="str">
        <x:v>Lost</x:v>
      </x:c>
      <x:c r="E116" s="76" t="n">
        <x:v>12969.65</x:v>
      </x:c>
      <x:c r="F116" s="66" t="n">
        <x:v>0</x:v>
      </x:c>
      <x:c r="G116" s="38" t="n">
        <x:v>46060</x:v>
      </x:c>
      <x:c r="H116" t="str">
        <x:v>Anna</x:v>
      </x:c>
    </x:row>
    <x:row r="117">
      <x:c r="A117" t="str">
        <x:v>D-2113</x:v>
      </x:c>
      <x:c r="B117" t="str">
        <x:v>C-1006</x:v>
      </x:c>
      <x:c r="C117" t="str">
        <x:v>RealEstate Pro 6</x:v>
      </x:c>
      <x:c r="D117" t="str">
        <x:v>Lost</x:v>
      </x:c>
      <x:c r="E117" s="76" t="n">
        <x:v>7575.21</x:v>
      </x:c>
      <x:c r="F117" s="66" t="n">
        <x:v>0</x:v>
      </x:c>
      <x:c r="G117" s="38" t="n">
        <x:v>46231</x:v>
      </x:c>
      <x:c r="H117" t="str">
        <x:v>Maria</x:v>
      </x:c>
    </x:row>
    <x:row r="118">
      <x:c r="A118" t="str">
        <x:v>D-2114</x:v>
      </x:c>
      <x:c r="B118" t="str">
        <x:v>C-1009</x:v>
      </x:c>
      <x:c r="C118" t="str">
        <x:v>Baltic Retail 9</x:v>
      </x:c>
      <x:c r="D118" t="str">
        <x:v>Won</x:v>
      </x:c>
      <x:c r="E118" s="76" t="n">
        <x:v>14984.54</x:v>
      </x:c>
      <x:c r="F118" s="66" t="n">
        <x:v>1</x:v>
      </x:c>
      <x:c r="G118" s="38" t="n">
        <x:v>46077</x:v>
      </x:c>
      <x:c r="H118" t="str">
        <x:v>Daria</x:v>
      </x:c>
    </x:row>
    <x:row r="119">
      <x:c r="A119" t="str">
        <x:v>D-2115</x:v>
      </x:c>
      <x:c r="B119" t="str">
        <x:v>C-1071</x:v>
      </x:c>
      <x:c r="C119" t="str">
        <x:v>BeautyLab 71</x:v>
      </x:c>
      <x:c r="D119" t="str">
        <x:v>New</x:v>
      </x:c>
      <x:c r="E119" s="76" t="n">
        <x:v>3960.28</x:v>
      </x:c>
      <x:c r="F119" s="66" t="n">
        <x:v>0.1</x:v>
      </x:c>
      <x:c r="G119" s="38" t="n">
        <x:v>46095</x:v>
      </x:c>
      <x:c r="H119" t="str">
        <x:v>Maria</x:v>
      </x:c>
    </x:row>
    <x:row r="120">
      <x:c r="A120" t="str">
        <x:v>D-2116</x:v>
      </x:c>
      <x:c r="B120" t="str">
        <x:v>C-1019</x:v>
      </x:c>
      <x:c r="C120" t="str">
        <x:v>LogiTrans 19</x:v>
      </x:c>
      <x:c r="D120" t="str">
        <x:v>Lost</x:v>
      </x:c>
      <x:c r="E120" s="76" t="n">
        <x:v>6389.08</x:v>
      </x:c>
      <x:c r="F120" s="66" t="n">
        <x:v>0</x:v>
      </x:c>
      <x:c r="G120" s="38" t="n">
        <x:v>46150</x:v>
      </x:c>
      <x:c r="H120" t="str">
        <x:v>Anna</x:v>
      </x:c>
    </x:row>
    <x:row r="121">
      <x:c r="A121" t="str">
        <x:v>D-2117</x:v>
      </x:c>
      <x:c r="B121" t="str">
        <x:v>C-1059</x:v>
      </x:c>
      <x:c r="C121" t="str">
        <x:v>BrightLabs 59</x:v>
      </x:c>
      <x:c r="D121" t="str">
        <x:v>New</x:v>
      </x:c>
      <x:c r="E121" s="76" t="n">
        <x:v>7743.04</x:v>
      </x:c>
      <x:c r="F121" s="66" t="n">
        <x:v>0.1</x:v>
      </x:c>
      <x:c r="G121" s="38" t="n">
        <x:v>46208</x:v>
      </x:c>
      <x:c r="H121" t="str">
        <x:v>Maria</x:v>
      </x:c>
    </x:row>
    <x:row r="122">
      <x:c r="A122" t="str">
        <x:v>D-2118</x:v>
      </x:c>
      <x:c r="B122" t="str">
        <x:v>C-1027</x:v>
      </x:c>
      <x:c r="C122" t="str">
        <x:v>FitLife 27</x:v>
      </x:c>
      <x:c r="D122" t="str">
        <x:v>Won</x:v>
      </x:c>
      <x:c r="E122" s="76" t="n">
        <x:v>13377.36</x:v>
      </x:c>
      <x:c r="F122" s="66" t="n">
        <x:v>1</x:v>
      </x:c>
      <x:c r="G122" s="38" t="n">
        <x:v>46185</x:v>
      </x:c>
      <x:c r="H122" t="str">
        <x:v>Sofia</x:v>
      </x:c>
    </x:row>
    <x:row r="123">
      <x:c r="A123" t="str">
        <x:v>D-2119</x:v>
      </x:c>
      <x:c r="B123" t="str">
        <x:v>C-1073</x:v>
      </x:c>
      <x:c r="C123" t="str">
        <x:v>BrightLabs 73</x:v>
      </x:c>
      <x:c r="D123" t="str">
        <x:v>Qualified</x:v>
      </x:c>
      <x:c r="E123" s="76" t="n">
        <x:v>7815.79</x:v>
      </x:c>
      <x:c r="F123" s="66" t="n">
        <x:v>0.25</x:v>
      </x:c>
      <x:c r="G123" s="38" t="n">
        <x:v>46157</x:v>
      </x:c>
      <x:c r="H123" t="str">
        <x:v>Daria</x:v>
      </x:c>
    </x:row>
    <x:row r="124">
      <x:c r="A124" t="str">
        <x:v>D-2120</x:v>
      </x:c>
      <x:c r="B124" t="str">
        <x:v>C-1028</x:v>
      </x:c>
      <x:c r="C124" t="str">
        <x:v>HealthPlus 28</x:v>
      </x:c>
      <x:c r="D124" t="str">
        <x:v>Qualified</x:v>
      </x:c>
      <x:c r="E124" s="76" t="n">
        <x:v>10340.82</x:v>
      </x:c>
      <x:c r="F124" s="66" t="n">
        <x:v>0.25</x:v>
      </x:c>
      <x:c r="G124" s="38" t="n">
        <x:v>46170</x:v>
      </x:c>
      <x:c r="H124" t="str">
        <x:v>Sofia</x:v>
      </x:c>
    </x:row>
    <x:row r="125">
      <x:c r="A125" t="str">
        <x:v>D-2121</x:v>
      </x:c>
      <x:c r="B125" t="str">
        <x:v>C-1031</x:v>
      </x:c>
      <x:c r="C125" t="str">
        <x:v>DataPulse 31</x:v>
      </x:c>
      <x:c r="D125" t="str">
        <x:v>New</x:v>
      </x:c>
      <x:c r="E125" s="76" t="n">
        <x:v>2146.37</x:v>
      </x:c>
      <x:c r="F125" s="66" t="n">
        <x:v>0.1</x:v>
      </x:c>
      <x:c r="G125" s="38" t="n">
        <x:v>46213</x:v>
      </x:c>
      <x:c r="H125" t="str">
        <x:v>Maria</x:v>
      </x:c>
    </x:row>
    <x:row r="126">
      <x:c r="A126" t="str">
        <x:v>D-2122</x:v>
      </x:c>
      <x:c r="B126" t="str">
        <x:v>C-1002</x:v>
      </x:c>
      <x:c r="C126" t="str">
        <x:v>Nord Studio 2</x:v>
      </x:c>
      <x:c r="D126" t="str">
        <x:v>Negotiation</x:v>
      </x:c>
      <x:c r="E126" s="76" t="n">
        <x:v>12417.39</x:v>
      </x:c>
      <x:c r="F126" s="66" t="n">
        <x:v>0.65</x:v>
      </x:c>
      <x:c r="G126" s="38" t="n">
        <x:v>46096</x:v>
      </x:c>
      <x:c r="H126" t="str">
        <x:v>Elena</x:v>
      </x:c>
    </x:row>
    <x:row r="127">
      <x:c r="A127" t="str">
        <x:v>D-2123</x:v>
      </x:c>
      <x:c r="B127" t="str">
        <x:v>C-1068</x:v>
      </x:c>
      <x:c r="C127" t="str">
        <x:v>BeautyLab 68</x:v>
      </x:c>
      <x:c r="D127" t="str">
        <x:v>Proposal</x:v>
      </x:c>
      <x:c r="E127" s="76" t="n">
        <x:v>9582.81</x:v>
      </x:c>
      <x:c r="F127" s="66" t="n">
        <x:v>0.45</x:v>
      </x:c>
      <x:c r="G127" s="38" t="n">
        <x:v>46106</x:v>
      </x:c>
      <x:c r="H127" t="str">
        <x:v>Sofia</x:v>
      </x:c>
    </x:row>
    <x:row r="128">
      <x:c r="A128" t="str">
        <x:v>D-2124</x:v>
      </x:c>
      <x:c r="B128" t="str">
        <x:v>C-1023</x:v>
      </x:c>
      <x:c r="C128" t="str">
        <x:v>FinCraft 23</x:v>
      </x:c>
      <x:c r="D128" t="str">
        <x:v>Won</x:v>
      </x:c>
      <x:c r="E128" s="76" t="n">
        <x:v>14480.31</x:v>
      </x:c>
      <x:c r="F128" s="66" t="n">
        <x:v>1</x:v>
      </x:c>
      <x:c r="G128" s="38" t="n">
        <x:v>46206</x:v>
      </x:c>
      <x:c r="H128" t="str">
        <x:v>Anna</x:v>
      </x:c>
    </x:row>
    <x:row r="129">
      <x:c r="A129" t="str">
        <x:v>D-2125</x:v>
      </x:c>
      <x:c r="B129" t="str">
        <x:v>C-1071</x:v>
      </x:c>
      <x:c r="C129" t="str">
        <x:v>BeautyLab 71</x:v>
      </x:c>
      <x:c r="D129" t="str">
        <x:v>Won</x:v>
      </x:c>
      <x:c r="E129" s="76" t="n">
        <x:v>3929.75</x:v>
      </x:c>
      <x:c r="F129" s="66" t="n">
        <x:v>1</x:v>
      </x:c>
      <x:c r="G129" s="38" t="n">
        <x:v>46076</x:v>
      </x:c>
      <x:c r="H129" t="str">
        <x:v>Maria</x:v>
      </x:c>
    </x:row>
    <x:row r="130">
      <x:c r="A130" t="str">
        <x:v>D-2126</x:v>
      </x:c>
      <x:c r="B130" t="str">
        <x:v>C-1050</x:v>
      </x:c>
      <x:c r="C130" t="str">
        <x:v>EduPro 50</x:v>
      </x:c>
      <x:c r="D130" t="str">
        <x:v>Won</x:v>
      </x:c>
      <x:c r="E130" s="76" t="n">
        <x:v>10723.91</x:v>
      </x:c>
      <x:c r="F130" s="66" t="n">
        <x:v>1</x:v>
      </x:c>
      <x:c r="G130" s="38" t="n">
        <x:v>46192</x:v>
      </x:c>
      <x:c r="H130" t="str">
        <x:v>Olga</x:v>
      </x:c>
    </x:row>
    <x:row r="131">
      <x:c r="A131" t="str">
        <x:v>D-2127</x:v>
      </x:c>
      <x:c r="B131" t="str">
        <x:v>C-1042</x:v>
      </x:c>
      <x:c r="C131" t="str">
        <x:v>HealthPlus 42</x:v>
      </x:c>
      <x:c r="D131" t="str">
        <x:v>Qualified</x:v>
      </x:c>
      <x:c r="E131" s="76" t="n">
        <x:v>1765.32</x:v>
      </x:c>
      <x:c r="F131" s="66" t="n">
        <x:v>0.25</x:v>
      </x:c>
      <x:c r="G131" s="38" t="n">
        <x:v>46074</x:v>
      </x:c>
      <x:c r="H131" t="str">
        <x:v>Elena</x:v>
      </x:c>
    </x:row>
    <x:row r="132">
      <x:c r="A132" t="str">
        <x:v>D-2128</x:v>
      </x:c>
      <x:c r="B132" t="str">
        <x:v>C-1043</x:v>
      </x:c>
      <x:c r="C132" t="str">
        <x:v>CloudNine 43</x:v>
      </x:c>
      <x:c r="D132" t="str">
        <x:v>Proposal</x:v>
      </x:c>
      <x:c r="E132" s="76" t="n">
        <x:v>3564.81</x:v>
      </x:c>
      <x:c r="F132" s="66" t="n">
        <x:v>0.45</x:v>
      </x:c>
      <x:c r="G132" s="38" t="n">
        <x:v>46057</x:v>
      </x:c>
      <x:c r="H132" t="str">
        <x:v>Elena</x:v>
      </x:c>
    </x:row>
    <x:row r="133">
      <x:c r="A133" t="str">
        <x:v>D-2129</x:v>
      </x:c>
      <x:c r="B133" t="str">
        <x:v>C-1063</x:v>
      </x:c>
      <x:c r="C133" t="str">
        <x:v>DataPulse 63</x:v>
      </x:c>
      <x:c r="D133" t="str">
        <x:v>Qualified</x:v>
      </x:c>
      <x:c r="E133" s="76" t="n">
        <x:v>14789.04</x:v>
      </x:c>
      <x:c r="F133" s="66" t="n">
        <x:v>0.25</x:v>
      </x:c>
      <x:c r="G133" s="38" t="n">
        <x:v>46172</x:v>
      </x:c>
      <x:c r="H133" t="str">
        <x:v>Daria</x:v>
      </x:c>
    </x:row>
    <x:row r="134">
      <x:c r="A134" t="str">
        <x:v>D-2130</x:v>
      </x:c>
      <x:c r="B134" t="str">
        <x:v>C-1002</x:v>
      </x:c>
      <x:c r="C134" t="str">
        <x:v>Nord Studio 2</x:v>
      </x:c>
      <x:c r="D134" t="str">
        <x:v>Won</x:v>
      </x:c>
      <x:c r="E134" s="76" t="n">
        <x:v>4897.07</x:v>
      </x:c>
      <x:c r="F134" s="66" t="n">
        <x:v>1</x:v>
      </x:c>
      <x:c r="G134" s="38" t="n">
        <x:v>46192</x:v>
      </x:c>
      <x:c r="H134" t="str">
        <x:v>Elena</x:v>
      </x:c>
    </x:row>
    <x:row r="135">
      <x:c r="A135" t="str">
        <x:v>D-2131</x:v>
      </x:c>
      <x:c r="B135" t="str">
        <x:v>C-1067</x:v>
      </x:c>
      <x:c r="C135" t="str">
        <x:v>FitLife 67</x:v>
      </x:c>
      <x:c r="D135" t="str">
        <x:v>Qualified</x:v>
      </x:c>
      <x:c r="E135" s="76" t="n">
        <x:v>8765.36</x:v>
      </x:c>
      <x:c r="F135" s="66" t="n">
        <x:v>0.25</x:v>
      </x:c>
      <x:c r="G135" s="38" t="n">
        <x:v>46172</x:v>
      </x:c>
      <x:c r="H135" t="str">
        <x:v>Maria</x:v>
      </x:c>
    </x:row>
    <x:row r="136">
      <x:c r="A136" t="str">
        <x:v>D-2132</x:v>
      </x:c>
      <x:c r="B136" t="str">
        <x:v>C-1049</x:v>
      </x:c>
      <x:c r="C136" t="str">
        <x:v>CryptoDesk 49</x:v>
      </x:c>
      <x:c r="D136" t="str">
        <x:v>Proposal</x:v>
      </x:c>
      <x:c r="E136" s="76" t="n">
        <x:v>12301.41</x:v>
      </x:c>
      <x:c r="F136" s="66" t="n">
        <x:v>0.45</x:v>
      </x:c>
      <x:c r="G136" s="38" t="n">
        <x:v>46054</x:v>
      </x:c>
      <x:c r="H136" t="str">
        <x:v>Elena</x:v>
      </x:c>
    </x:row>
    <x:row r="137">
      <x:c r="A137" t="str">
        <x:v>D-2133</x:v>
      </x:c>
      <x:c r="B137" t="str">
        <x:v>C-1018</x:v>
      </x:c>
      <x:c r="C137" t="str">
        <x:v>Nord Studio 18</x:v>
      </x:c>
      <x:c r="D137" t="str">
        <x:v>Lost</x:v>
      </x:c>
      <x:c r="E137" s="76" t="n">
        <x:v>1632.22</x:v>
      </x:c>
      <x:c r="F137" s="66" t="n">
        <x:v>0</x:v>
      </x:c>
      <x:c r="G137" s="38" t="n">
        <x:v>46161</x:v>
      </x:c>
      <x:c r="H137" t="str">
        <x:v>Anna</x:v>
      </x:c>
    </x:row>
    <x:row r="138">
      <x:c r="A138" t="str">
        <x:v>D-2134</x:v>
      </x:c>
      <x:c r="B138" t="str">
        <x:v>C-1008</x:v>
      </x:c>
      <x:c r="C138" t="str">
        <x:v>FinCraft 8</x:v>
      </x:c>
      <x:c r="D138" t="str">
        <x:v>Won</x:v>
      </x:c>
      <x:c r="E138" s="76" t="n">
        <x:v>13092.97</x:v>
      </x:c>
      <x:c r="F138" s="66" t="n">
        <x:v>1</x:v>
      </x:c>
      <x:c r="G138" s="38" t="n">
        <x:v>46134</x:v>
      </x:c>
      <x:c r="H138" t="str">
        <x:v>Anna</x:v>
      </x:c>
    </x:row>
    <x:row r="139">
      <x:c r="A139" t="str">
        <x:v>D-2135</x:v>
      </x:c>
      <x:c r="B139" t="str">
        <x:v>C-1038</x:v>
      </x:c>
      <x:c r="C139" t="str">
        <x:v>Baltic Retail 38</x:v>
      </x:c>
      <x:c r="D139" t="str">
        <x:v>New</x:v>
      </x:c>
      <x:c r="E139" s="76" t="n">
        <x:v>8385.21</x:v>
      </x:c>
      <x:c r="F139" s="66" t="n">
        <x:v>0.1</x:v>
      </x:c>
      <x:c r="G139" s="38" t="n">
        <x:v>46223</x:v>
      </x:c>
      <x:c r="H139" t="str">
        <x:v>Olga</x:v>
      </x:c>
    </x:row>
    <x:row r="140">
      <x:c r="A140" t="str">
        <x:v>D-2136</x:v>
      </x:c>
      <x:c r="B140" t="str">
        <x:v>C-1076</x:v>
      </x:c>
      <x:c r="C140" t="str">
        <x:v>Baltic Retail 76</x:v>
      </x:c>
      <x:c r="D140" t="str">
        <x:v>Negotiation</x:v>
      </x:c>
      <x:c r="E140" s="76" t="n">
        <x:v>14769.65</x:v>
      </x:c>
      <x:c r="F140" s="66" t="n">
        <x:v>0.65</x:v>
      </x:c>
      <x:c r="G140" s="38" t="n">
        <x:v>46105</x:v>
      </x:c>
      <x:c r="H140" t="str">
        <x:v>Elena</x:v>
      </x:c>
    </x:row>
    <x:row r="141">
      <x:c r="A141" t="str">
        <x:v>D-2137</x:v>
      </x:c>
      <x:c r="B141" t="str">
        <x:v>C-1046</x:v>
      </x:c>
      <x:c r="C141" t="str">
        <x:v>FoodBox 46</x:v>
      </x:c>
      <x:c r="D141" t="str">
        <x:v>Qualified</x:v>
      </x:c>
      <x:c r="E141" s="76" t="n">
        <x:v>7787.51</x:v>
      </x:c>
      <x:c r="F141" s="66" t="n">
        <x:v>0.25</x:v>
      </x:c>
      <x:c r="G141" s="38" t="n">
        <x:v>46198</x:v>
      </x:c>
      <x:c r="H141" t="str">
        <x:v>Elena</x:v>
      </x:c>
    </x:row>
    <x:row r="142">
      <x:c r="A142" t="str">
        <x:v>D-2138</x:v>
      </x:c>
      <x:c r="B142" t="str">
        <x:v>C-1058</x:v>
      </x:c>
      <x:c r="C142" t="str">
        <x:v>GreenHome 58</x:v>
      </x:c>
      <x:c r="D142" t="str">
        <x:v>Lost</x:v>
      </x:c>
      <x:c r="E142" s="76" t="n">
        <x:v>1652.81</x:v>
      </x:c>
      <x:c r="F142" s="66" t="n">
        <x:v>0</x:v>
      </x:c>
      <x:c r="G142" s="38" t="n">
        <x:v>46225</x:v>
      </x:c>
      <x:c r="H142" t="str">
        <x:v>Sofia</x:v>
      </x:c>
    </x:row>
    <x:row r="143">
      <x:c r="A143" t="str">
        <x:v>D-2139</x:v>
      </x:c>
      <x:c r="B143" t="str">
        <x:v>C-1006</x:v>
      </x:c>
      <x:c r="C143" t="str">
        <x:v>RealEstate Pro 6</x:v>
      </x:c>
      <x:c r="D143" t="str">
        <x:v>New</x:v>
      </x:c>
      <x:c r="E143" s="76" t="n">
        <x:v>5746.4</x:v>
      </x:c>
      <x:c r="F143" s="66" t="n">
        <x:v>0.1</x:v>
      </x:c>
      <x:c r="G143" s="38" t="n">
        <x:v>46174</x:v>
      </x:c>
      <x:c r="H143" t="str">
        <x:v>Maria</x:v>
      </x:c>
    </x:row>
    <x:row r="144">
      <x:c r="A144" t="str">
        <x:v>D-2140</x:v>
      </x:c>
      <x:c r="B144" t="str">
        <x:v>C-1061</x:v>
      </x:c>
      <x:c r="C144" t="str">
        <x:v>Travelio 61</x:v>
      </x:c>
      <x:c r="D144" t="str">
        <x:v>Negotiation</x:v>
      </x:c>
      <x:c r="E144" s="76" t="n">
        <x:v>12876.05</x:v>
      </x:c>
      <x:c r="F144" s="66" t="n">
        <x:v>0.65</x:v>
      </x:c>
      <x:c r="G144" s="38" t="n">
        <x:v>46217</x:v>
      </x:c>
      <x:c r="H144" t="str">
        <x:v>Elena</x:v>
      </x:c>
    </x:row>
    <x:row r="145">
      <x:c r="A145" t="str">
        <x:v>D-2141</x:v>
      </x:c>
      <x:c r="B145" t="str">
        <x:v>C-1010</x:v>
      </x:c>
      <x:c r="C145" t="str">
        <x:v>BeautyLab 10</x:v>
      </x:c>
      <x:c r="D145" t="str">
        <x:v>Proposal</x:v>
      </x:c>
      <x:c r="E145" s="76" t="n">
        <x:v>4727.22</x:v>
      </x:c>
      <x:c r="F145" s="66" t="n">
        <x:v>0.45</x:v>
      </x:c>
      <x:c r="G145" s="38" t="n">
        <x:v>46183</x:v>
      </x:c>
      <x:c r="H145" t="str">
        <x:v>Daria</x:v>
      </x:c>
    </x:row>
    <x:row r="146">
      <x:c r="A146" t="str">
        <x:v>D-2142</x:v>
      </x:c>
      <x:c r="B146" t="str">
        <x:v>C-1023</x:v>
      </x:c>
      <x:c r="C146" t="str">
        <x:v>FinCraft 23</x:v>
      </x:c>
      <x:c r="D146" t="str">
        <x:v>Proposal</x:v>
      </x:c>
      <x:c r="E146" s="76" t="n">
        <x:v>3850.28</x:v>
      </x:c>
      <x:c r="F146" s="66" t="n">
        <x:v>0.45</x:v>
      </x:c>
      <x:c r="G146" s="38" t="n">
        <x:v>46225</x:v>
      </x:c>
      <x:c r="H146" t="str">
        <x:v>Sofia</x:v>
      </x:c>
    </x:row>
    <x:row r="147">
      <x:c r="A147" t="str">
        <x:v>D-2143</x:v>
      </x:c>
      <x:c r="B147" t="str">
        <x:v>C-1043</x:v>
      </x:c>
      <x:c r="C147" t="str">
        <x:v>CloudNine 43</x:v>
      </x:c>
      <x:c r="D147" t="str">
        <x:v>Qualified</x:v>
      </x:c>
      <x:c r="E147" s="76" t="n">
        <x:v>9401.18</x:v>
      </x:c>
      <x:c r="F147" s="66" t="n">
        <x:v>0.25</x:v>
      </x:c>
      <x:c r="G147" s="38" t="n">
        <x:v>46110</x:v>
      </x:c>
      <x:c r="H147" t="str">
        <x:v>Maria</x:v>
      </x:c>
    </x:row>
    <x:row r="148">
      <x:c r="A148" t="str">
        <x:v>D-2144</x:v>
      </x:c>
      <x:c r="B148" t="str">
        <x:v>C-1036</x:v>
      </x:c>
      <x:c r="C148" t="str">
        <x:v>FreshMarket 36</x:v>
      </x:c>
      <x:c r="D148" t="str">
        <x:v>Qualified</x:v>
      </x:c>
      <x:c r="E148" s="76" t="n">
        <x:v>14273.77</x:v>
      </x:c>
      <x:c r="F148" s="66" t="n">
        <x:v>0.25</x:v>
      </x:c>
      <x:c r="G148" s="38" t="n">
        <x:v>46137</x:v>
      </x:c>
      <x:c r="H148" t="str">
        <x:v>Daria</x:v>
      </x:c>
    </x:row>
    <x:row r="149">
      <x:c r="A149" t="str">
        <x:v>D-2145</x:v>
      </x:c>
      <x:c r="B149" t="str">
        <x:v>C-1043</x:v>
      </x:c>
      <x:c r="C149" t="str">
        <x:v>CloudNine 43</x:v>
      </x:c>
      <x:c r="D149" t="str">
        <x:v>Proposal</x:v>
      </x:c>
      <x:c r="E149" s="76" t="n">
        <x:v>10221.41</x:v>
      </x:c>
      <x:c r="F149" s="66" t="n">
        <x:v>0.45</x:v>
      </x:c>
      <x:c r="G149" s="38" t="n">
        <x:v>46143</x:v>
      </x:c>
      <x:c r="H149" t="str">
        <x:v>Olga</x:v>
      </x:c>
    </x:row>
    <x:row r="150">
      <x:c r="A150" t="str">
        <x:v>D-2146</x:v>
      </x:c>
      <x:c r="B150" t="str">
        <x:v>C-1008</x:v>
      </x:c>
      <x:c r="C150" t="str">
        <x:v>FinCraft 8</x:v>
      </x:c>
      <x:c r="D150" t="str">
        <x:v>Qualified</x:v>
      </x:c>
      <x:c r="E150" s="76" t="n">
        <x:v>10357.73</x:v>
      </x:c>
      <x:c r="F150" s="66" t="n">
        <x:v>0.25</x:v>
      </x:c>
      <x:c r="G150" s="38" t="n">
        <x:v>46127</x:v>
      </x:c>
      <x:c r="H150" t="str">
        <x:v>Sofia</x:v>
      </x:c>
    </x:row>
    <x:row r="151">
      <x:c r="A151" t="str">
        <x:v>D-2147</x:v>
      </x:c>
      <x:c r="B151" t="str">
        <x:v>C-1008</x:v>
      </x:c>
      <x:c r="C151" t="str">
        <x:v>FinCraft 8</x:v>
      </x:c>
      <x:c r="D151" t="str">
        <x:v>Qualified</x:v>
      </x:c>
      <x:c r="E151" s="76" t="n">
        <x:v>14084.69</x:v>
      </x:c>
      <x:c r="F151" s="66" t="n">
        <x:v>0.25</x:v>
      </x:c>
      <x:c r="G151" s="38" t="n">
        <x:v>46140</x:v>
      </x:c>
      <x:c r="H151" t="str">
        <x:v>Anna</x:v>
      </x:c>
    </x:row>
    <x:row r="152">
      <x:c r="A152" t="str">
        <x:v>D-2148</x:v>
      </x:c>
      <x:c r="B152" t="str">
        <x:v>C-1021</x:v>
      </x:c>
      <x:c r="C152" t="str">
        <x:v>BrightLabs 21</x:v>
      </x:c>
      <x:c r="D152" t="str">
        <x:v>Proposal</x:v>
      </x:c>
      <x:c r="E152" s="76" t="n">
        <x:v>9850.3</x:v>
      </x:c>
      <x:c r="F152" s="66" t="n">
        <x:v>0.45</x:v>
      </x:c>
      <x:c r="G152" s="38" t="n">
        <x:v>46218</x:v>
      </x:c>
      <x:c r="H152" t="str">
        <x:v>Anna</x:v>
      </x:c>
    </x:row>
    <x:row r="153">
      <x:c r="A153" t="str">
        <x:v>D-2149</x:v>
      </x:c>
      <x:c r="B153" t="str">
        <x:v>C-1032</x:v>
      </x:c>
      <x:c r="C153" t="str">
        <x:v>AutoFix 32</x:v>
      </x:c>
      <x:c r="D153" t="str">
        <x:v>Proposal</x:v>
      </x:c>
      <x:c r="E153" s="76" t="n">
        <x:v>12349.93</x:v>
      </x:c>
      <x:c r="F153" s="66" t="n">
        <x:v>0.45</x:v>
      </x:c>
      <x:c r="G153" s="38" t="n">
        <x:v>46188</x:v>
      </x:c>
      <x:c r="H153" t="str">
        <x:v>Olga</x:v>
      </x:c>
    </x:row>
    <x:row r="154">
      <x:c r="A154" t="str">
        <x:v>D-2150</x:v>
      </x:c>
      <x:c r="B154" t="str">
        <x:v>C-1060</x:v>
      </x:c>
      <x:c r="C154" t="str">
        <x:v>LegalHub 60</x:v>
      </x:c>
      <x:c r="D154" t="str">
        <x:v>Proposal</x:v>
      </x:c>
      <x:c r="E154" s="76" t="n">
        <x:v>13232.21</x:v>
      </x:c>
      <x:c r="F154" s="66" t="n">
        <x:v>0.45</x:v>
      </x:c>
      <x:c r="G154" s="38" t="n">
        <x:v>46180</x:v>
      </x:c>
      <x:c r="H154" t="str">
        <x:v>Elena</x:v>
      </x:c>
    </x:row>
    <x:row r="155">
      <x:c r="A155" t="str">
        <x:v>D-2151</x:v>
      </x:c>
      <x:c r="B155" t="str">
        <x:v>C-1048</x:v>
      </x:c>
      <x:c r="C155" t="str">
        <x:v>HealthPlus 48</x:v>
      </x:c>
      <x:c r="D155" t="str">
        <x:v>Qualified</x:v>
      </x:c>
      <x:c r="E155" s="76" t="n">
        <x:v>11403.69</x:v>
      </x:c>
      <x:c r="F155" s="66" t="n">
        <x:v>0.25</x:v>
      </x:c>
      <x:c r="G155" s="38" t="n">
        <x:v>46210</x:v>
      </x:c>
      <x:c r="H155" t="str">
        <x:v>Anna</x:v>
      </x:c>
    </x:row>
    <x:row r="156">
      <x:c r="A156" t="str">
        <x:v>D-2152</x:v>
      </x:c>
      <x:c r="B156" t="str">
        <x:v>C-1071</x:v>
      </x:c>
      <x:c r="C156" t="str">
        <x:v>BeautyLab 71</x:v>
      </x:c>
      <x:c r="D156" t="str">
        <x:v>Negotiation</x:v>
      </x:c>
      <x:c r="E156" s="76" t="n">
        <x:v>11953.54</x:v>
      </x:c>
      <x:c r="F156" s="66" t="n">
        <x:v>0.65</x:v>
      </x:c>
      <x:c r="G156" s="38" t="n">
        <x:v>46222</x:v>
      </x:c>
      <x:c r="H156" t="str">
        <x:v>Daria</x:v>
      </x:c>
    </x:row>
    <x:row r="157">
      <x:c r="A157" t="str">
        <x:v>D-2153</x:v>
      </x:c>
      <x:c r="B157" t="str">
        <x:v>C-1052</x:v>
      </x:c>
      <x:c r="C157" t="str">
        <x:v>FreshMarket 52</x:v>
      </x:c>
      <x:c r="D157" t="str">
        <x:v>Qualified</x:v>
      </x:c>
      <x:c r="E157" s="76" t="n">
        <x:v>6730.01</x:v>
      </x:c>
      <x:c r="F157" s="66" t="n">
        <x:v>0.25</x:v>
      </x:c>
      <x:c r="G157" s="38" t="n">
        <x:v>46168</x:v>
      </x:c>
      <x:c r="H157" t="str">
        <x:v>Maria</x:v>
      </x:c>
    </x:row>
    <x:row r="158">
      <x:c r="A158" t="str">
        <x:v>D-2154</x:v>
      </x:c>
      <x:c r="B158" t="str">
        <x:v>C-1016</x:v>
      </x:c>
      <x:c r="C158" t="str">
        <x:v>BrightLabs 16</x:v>
      </x:c>
      <x:c r="D158" t="str">
        <x:v>Won</x:v>
      </x:c>
      <x:c r="E158" s="76" t="n">
        <x:v>13614.15</x:v>
      </x:c>
      <x:c r="F158" s="66" t="n">
        <x:v>1</x:v>
      </x:c>
      <x:c r="G158" s="38" t="n">
        <x:v>46175</x:v>
      </x:c>
      <x:c r="H158" t="str">
        <x:v>Daria</x:v>
      </x:c>
    </x:row>
    <x:row r="159">
      <x:c r="A159" t="str">
        <x:v>D-2155</x:v>
      </x:c>
      <x:c r="B159" t="str">
        <x:v>C-1066</x:v>
      </x:c>
      <x:c r="C159" t="str">
        <x:v>BrightLabs 66</x:v>
      </x:c>
      <x:c r="D159" t="str">
        <x:v>Qualified</x:v>
      </x:c>
      <x:c r="E159" s="76" t="n">
        <x:v>8412.84</x:v>
      </x:c>
      <x:c r="F159" s="66" t="n">
        <x:v>0.25</x:v>
      </x:c>
      <x:c r="G159" s="38" t="n">
        <x:v>46105</x:v>
      </x:c>
      <x:c r="H159" t="str">
        <x:v>Daria</x:v>
      </x:c>
    </x:row>
    <x:row r="160">
      <x:c r="A160" t="str">
        <x:v>D-2156</x:v>
      </x:c>
      <x:c r="B160" t="str">
        <x:v>C-1034</x:v>
      </x:c>
      <x:c r="C160" t="str">
        <x:v>GreenHome 34</x:v>
      </x:c>
      <x:c r="D160" t="str">
        <x:v>Qualified</x:v>
      </x:c>
      <x:c r="E160" s="76" t="n">
        <x:v>4221.73</x:v>
      </x:c>
      <x:c r="F160" s="66" t="n">
        <x:v>0.25</x:v>
      </x:c>
      <x:c r="G160" s="38" t="n">
        <x:v>46191</x:v>
      </x:c>
      <x:c r="H160" t="str">
        <x:v>Elena</x:v>
      </x:c>
    </x:row>
    <x:row r="161">
      <x:c r="A161" t="str">
        <x:v>D-2157</x:v>
      </x:c>
      <x:c r="B161" t="str">
        <x:v>C-1001</x:v>
      </x:c>
      <x:c r="C161" t="str">
        <x:v>Travelio 1</x:v>
      </x:c>
      <x:c r="D161" t="str">
        <x:v>Qualified</x:v>
      </x:c>
      <x:c r="E161" s="76" t="n">
        <x:v>10030.49</x:v>
      </x:c>
      <x:c r="F161" s="66" t="n">
        <x:v>0.25</x:v>
      </x:c>
      <x:c r="G161" s="38" t="n">
        <x:v>46133</x:v>
      </x:c>
      <x:c r="H161" t="str">
        <x:v>Daria</x:v>
      </x:c>
    </x:row>
    <x:row r="162">
      <x:c r="A162" t="str">
        <x:v>D-2158</x:v>
      </x:c>
      <x:c r="B162" t="str">
        <x:v>C-1049</x:v>
      </x:c>
      <x:c r="C162" t="str">
        <x:v>CryptoDesk 49</x:v>
      </x:c>
      <x:c r="D162" t="str">
        <x:v>Qualified</x:v>
      </x:c>
      <x:c r="E162" s="76" t="n">
        <x:v>8882.9</x:v>
      </x:c>
      <x:c r="F162" s="66" t="n">
        <x:v>0.25</x:v>
      </x:c>
      <x:c r="G162" s="38" t="n">
        <x:v>46209</x:v>
      </x:c>
      <x:c r="H162" t="str">
        <x:v>Maria</x:v>
      </x:c>
    </x:row>
    <x:row r="163">
      <x:c r="A163" t="str">
        <x:v>D-2159</x:v>
      </x:c>
      <x:c r="B163" t="str">
        <x:v>C-1022</x:v>
      </x:c>
      <x:c r="C163" t="str">
        <x:v>EduPro 22</x:v>
      </x:c>
      <x:c r="D163" t="str">
        <x:v>Lost</x:v>
      </x:c>
      <x:c r="E163" s="76" t="n">
        <x:v>3889.42</x:v>
      </x:c>
      <x:c r="F163" s="66" t="n">
        <x:v>0</x:v>
      </x:c>
      <x:c r="G163" s="38" t="n">
        <x:v>46067</x:v>
      </x:c>
      <x:c r="H163" t="str">
        <x:v>Olga</x:v>
      </x:c>
    </x:row>
    <x:row r="164">
      <x:c r="A164" t="str">
        <x:v>D-2160</x:v>
      </x:c>
      <x:c r="B164" t="str">
        <x:v>C-1038</x:v>
      </x:c>
      <x:c r="C164" t="str">
        <x:v>Baltic Retail 38</x:v>
      </x:c>
      <x:c r="D164" t="str">
        <x:v>Proposal</x:v>
      </x:c>
      <x:c r="E164" s="76" t="n">
        <x:v>3365.11</x:v>
      </x:c>
      <x:c r="F164" s="66" t="n">
        <x:v>0.45</x:v>
      </x:c>
      <x:c r="G164" s="38" t="n">
        <x:v>46094</x:v>
      </x:c>
      <x:c r="H164" t="str">
        <x:v>Daria</x:v>
      </x:c>
    </x:row>
  </x:sheetData>
  <x:mergeCells>
    <x:mergeCell ref="A1:H1"/>
    <x:mergeCell ref="A2:H2"/>
  </x:mergeCells>
  <x:dataValidations count="1">
    <x:dataValidation type="list" sqref="D5:D164">
      <x:formula1>"New,Qualified,Proposal,Negotiation,Won,Lost"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fe199534ef4366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20" hidden="0" customWidth="1"/>
    <x:col min="5" max="5" width="12" hidden="0" customWidth="1"/>
    <x:col min="6" max="6" width="14" hidden="0" customWidth="1"/>
    <x:col min="7" max="7" width="14" hidden="0" customWidth="1"/>
    <x:col min="8" max="8" width="12" hidden="0" customWidth="1"/>
  </x:cols>
  <x:sheetData>
    <x:row r="1" ht="28" customHeight="1">
      <x:c r="A1" s="5" t="str">
        <x:v>Case 5 — Mini CRM Tasks</x:v>
      </x:c>
    </x:row>
    <x:row r="2" ht="34" customHeight="1">
      <x:c r="A2" s="12" t="str">
        <x:v>Tasks with priority/status/due date, suitable for operational dashboard.</x:v>
      </x:c>
    </x:row>
    <x:row r="4">
      <x:c r="A4" s="32" t="str">
        <x:v>Task ID</x:v>
      </x:c>
      <x:c r="B4" s="32" t="str">
        <x:v>Deal ID</x:v>
      </x:c>
      <x:c r="C4" s="32" t="str">
        <x:v>Client Name</x:v>
      </x:c>
      <x:c r="D4" s="32" t="str">
        <x:v>Task</x:v>
      </x:c>
      <x:c r="E4" s="32" t="str">
        <x:v>Priority</x:v>
      </x:c>
      <x:c r="F4" s="32" t="str">
        <x:v>Status</x:v>
      </x:c>
      <x:c r="G4" s="32" t="str">
        <x:v>Due Date</x:v>
      </x:c>
      <x:c r="H4" s="32" t="str">
        <x:v>Owner</x:v>
      </x:c>
    </x:row>
    <x:row r="5">
      <x:c r="A5" t="str">
        <x:v>T-3001</x:v>
      </x:c>
      <x:c r="B5" t="str">
        <x:v>D-2089</x:v>
      </x:c>
      <x:c r="C5" t="str">
        <x:v>AutoFix 70</x:v>
      </x:c>
      <x:c r="D5" t="str">
        <x:v>Follow up</x:v>
      </x:c>
      <x:c r="E5" t="str">
        <x:v>High</x:v>
      </x:c>
      <x:c r="F5" t="str">
        <x:v>Open</x:v>
      </x:c>
      <x:c r="G5" s="38" t="n">
        <x:v>46165</x:v>
      </x:c>
      <x:c r="H5" t="str">
        <x:v>Anna</x:v>
      </x:c>
    </x:row>
    <x:row r="6">
      <x:c r="A6" t="str">
        <x:v>T-3002</x:v>
      </x:c>
      <x:c r="B6" t="str">
        <x:v>D-2023</x:v>
      </x:c>
      <x:c r="C6" t="str">
        <x:v>EduPro 74</x:v>
      </x:c>
      <x:c r="D6" t="str">
        <x:v>Invoice</x:v>
      </x:c>
      <x:c r="E6" t="str">
        <x:v>Low</x:v>
      </x:c>
      <x:c r="F6" t="str">
        <x:v>In progress</x:v>
      </x:c>
      <x:c r="G6" s="38" t="n">
        <x:v>46094</x:v>
      </x:c>
      <x:c r="H6" t="str">
        <x:v>Elena</x:v>
      </x:c>
    </x:row>
    <x:row r="7">
      <x:c r="A7" t="str">
        <x:v>T-3003</x:v>
      </x:c>
      <x:c r="B7" t="str">
        <x:v>D-2146</x:v>
      </x:c>
      <x:c r="C7" t="str">
        <x:v>FinCraft 8</x:v>
      </x:c>
      <x:c r="D7" t="str">
        <x:v>Invoice</x:v>
      </x:c>
      <x:c r="E7" t="str">
        <x:v>Medium</x:v>
      </x:c>
      <x:c r="F7" t="str">
        <x:v>Done</x:v>
      </x:c>
      <x:c r="G7" s="38" t="n">
        <x:v>46097</x:v>
      </x:c>
      <x:c r="H7" t="str">
        <x:v>Daria</x:v>
      </x:c>
    </x:row>
    <x:row r="8">
      <x:c r="A8" t="str">
        <x:v>T-3004</x:v>
      </x:c>
      <x:c r="B8" t="str">
        <x:v>D-2114</x:v>
      </x:c>
      <x:c r="C8" t="str">
        <x:v>Baltic Retail 9</x:v>
      </x:c>
      <x:c r="D8" t="str">
        <x:v>Prepare dashboard</x:v>
      </x:c>
      <x:c r="E8" t="str">
        <x:v>Low</x:v>
      </x:c>
      <x:c r="F8" t="str">
        <x:v>In progress</x:v>
      </x:c>
      <x:c r="G8" s="38" t="n">
        <x:v>46090</x:v>
      </x:c>
      <x:c r="H8" t="str">
        <x:v>Sofia</x:v>
      </x:c>
    </x:row>
    <x:row r="9">
      <x:c r="A9" t="str">
        <x:v>T-3005</x:v>
      </x:c>
      <x:c r="B9" t="str">
        <x:v>D-2155</x:v>
      </x:c>
      <x:c r="C9" t="str">
        <x:v>BrightLabs 66</x:v>
      </x:c>
      <x:c r="D9" t="str">
        <x:v>Prepare dashboard</x:v>
      </x:c>
      <x:c r="E9" t="str">
        <x:v>Medium</x:v>
      </x:c>
      <x:c r="F9" t="str">
        <x:v>Open</x:v>
      </x:c>
      <x:c r="G9" s="38" t="n">
        <x:v>46062</x:v>
      </x:c>
      <x:c r="H9" t="str">
        <x:v>Daria</x:v>
      </x:c>
    </x:row>
    <x:row r="10">
      <x:c r="A10" t="str">
        <x:v>T-3006</x:v>
      </x:c>
      <x:c r="B10" t="str">
        <x:v>D-2015</x:v>
      </x:c>
      <x:c r="C10" t="str">
        <x:v>BrightLabs 59</x:v>
      </x:c>
      <x:c r="D10" t="str">
        <x:v>Follow up</x:v>
      </x:c>
      <x:c r="E10" t="str">
        <x:v>Medium</x:v>
      </x:c>
      <x:c r="F10" t="str">
        <x:v>Open</x:v>
      </x:c>
      <x:c r="G10" s="38" t="n">
        <x:v>46109</x:v>
      </x:c>
      <x:c r="H10" t="str">
        <x:v>Anna</x:v>
      </x:c>
    </x:row>
    <x:row r="11">
      <x:c r="A11" t="str">
        <x:v>T-3007</x:v>
      </x:c>
      <x:c r="B11" t="str">
        <x:v>D-2107</x:v>
      </x:c>
      <x:c r="C11" t="str">
        <x:v>Northwind 13</x:v>
      </x:c>
      <x:c r="D11" t="str">
        <x:v>Invoice</x:v>
      </x:c>
      <x:c r="E11" t="str">
        <x:v>High</x:v>
      </x:c>
      <x:c r="F11" t="str">
        <x:v>Open</x:v>
      </x:c>
      <x:c r="G11" s="38" t="n">
        <x:v>46069</x:v>
      </x:c>
      <x:c r="H11" t="str">
        <x:v>Olga</x:v>
      </x:c>
    </x:row>
    <x:row r="12">
      <x:c r="A12" t="str">
        <x:v>T-3008</x:v>
      </x:c>
      <x:c r="B12" t="str">
        <x:v>D-2128</x:v>
      </x:c>
      <x:c r="C12" t="str">
        <x:v>CloudNine 43</x:v>
      </x:c>
      <x:c r="D12" t="str">
        <x:v>Follow up</x:v>
      </x:c>
      <x:c r="E12" t="str">
        <x:v>Critical</x:v>
      </x:c>
      <x:c r="F12" t="str">
        <x:v>In progress</x:v>
      </x:c>
      <x:c r="G12" s="38" t="n">
        <x:v>46168</x:v>
      </x:c>
      <x:c r="H12" t="str">
        <x:v>Anna</x:v>
      </x:c>
    </x:row>
    <x:row r="13">
      <x:c r="A13" t="str">
        <x:v>T-3009</x:v>
      </x:c>
      <x:c r="B13" t="str">
        <x:v>D-2048</x:v>
      </x:c>
      <x:c r="C13" t="str">
        <x:v>FinCraft 7</x:v>
      </x:c>
      <x:c r="D13" t="str">
        <x:v>Follow up</x:v>
      </x:c>
      <x:c r="E13" t="str">
        <x:v>Medium</x:v>
      </x:c>
      <x:c r="F13" t="str">
        <x:v>Open</x:v>
      </x:c>
      <x:c r="G13" s="38" t="n">
        <x:v>46099</x:v>
      </x:c>
      <x:c r="H13" t="str">
        <x:v>Sofia</x:v>
      </x:c>
    </x:row>
    <x:row r="14">
      <x:c r="A14" t="str">
        <x:v>T-3010</x:v>
      </x:c>
      <x:c r="B14" t="str">
        <x:v>D-2022</x:v>
      </x:c>
      <x:c r="C14" t="str">
        <x:v>RealEstate Pro 29</x:v>
      </x:c>
      <x:c r="D14" t="str">
        <x:v>Prepare dashboard</x:v>
      </x:c>
      <x:c r="E14" t="str">
        <x:v>Critical</x:v>
      </x:c>
      <x:c r="F14" t="str">
        <x:v>Open</x:v>
      </x:c>
      <x:c r="G14" s="38" t="n">
        <x:v>46130</x:v>
      </x:c>
      <x:c r="H14" t="str">
        <x:v>Elena</x:v>
      </x:c>
    </x:row>
    <x:row r="15">
      <x:c r="A15" t="str">
        <x:v>T-3011</x:v>
      </x:c>
      <x:c r="B15" t="str">
        <x:v>D-2056</x:v>
      </x:c>
      <x:c r="C15" t="str">
        <x:v>Baltic Retail 33</x:v>
      </x:c>
      <x:c r="D15" t="str">
        <x:v>Follow up</x:v>
      </x:c>
      <x:c r="E15" t="str">
        <x:v>High</x:v>
      </x:c>
      <x:c r="F15" t="str">
        <x:v>Done</x:v>
      </x:c>
      <x:c r="G15" s="38" t="n">
        <x:v>46130</x:v>
      </x:c>
      <x:c r="H15" t="str">
        <x:v>Maria</x:v>
      </x:c>
    </x:row>
    <x:row r="16">
      <x:c r="A16" t="str">
        <x:v>T-3012</x:v>
      </x:c>
      <x:c r="B16" t="str">
        <x:v>D-2146</x:v>
      </x:c>
      <x:c r="C16" t="str">
        <x:v>FinCraft 8</x:v>
      </x:c>
      <x:c r="D16" t="str">
        <x:v>Follow up</x:v>
      </x:c>
      <x:c r="E16" t="str">
        <x:v>Low</x:v>
      </x:c>
      <x:c r="F16" t="str">
        <x:v>Open</x:v>
      </x:c>
      <x:c r="G16" s="38" t="n">
        <x:v>46065</x:v>
      </x:c>
      <x:c r="H16" t="str">
        <x:v>Maria</x:v>
      </x:c>
    </x:row>
    <x:row r="17">
      <x:c r="A17" t="str">
        <x:v>T-3013</x:v>
      </x:c>
      <x:c r="B17" t="str">
        <x:v>D-2084</x:v>
      </x:c>
      <x:c r="C17" t="str">
        <x:v>RealEstate Pro 57</x:v>
      </x:c>
      <x:c r="D17" t="str">
        <x:v>Invoice</x:v>
      </x:c>
      <x:c r="E17" t="str">
        <x:v>Low</x:v>
      </x:c>
      <x:c r="F17" t="str">
        <x:v>In progress</x:v>
      </x:c>
      <x:c r="G17" s="38" t="n">
        <x:v>46167</x:v>
      </x:c>
      <x:c r="H17" t="str">
        <x:v>Elena</x:v>
      </x:c>
    </x:row>
    <x:row r="18">
      <x:c r="A18" t="str">
        <x:v>T-3014</x:v>
      </x:c>
      <x:c r="B18" t="str">
        <x:v>D-2038</x:v>
      </x:c>
      <x:c r="C18" t="str">
        <x:v>AutoFix 47</x:v>
      </x:c>
      <x:c r="D18" t="str">
        <x:v>Client call</x:v>
      </x:c>
      <x:c r="E18" t="str">
        <x:v>Low</x:v>
      </x:c>
      <x:c r="F18" t="str">
        <x:v>In progress</x:v>
      </x:c>
      <x:c r="G18" s="38" t="n">
        <x:v>46155</x:v>
      </x:c>
      <x:c r="H18" t="str">
        <x:v>Elena</x:v>
      </x:c>
    </x:row>
    <x:row r="19">
      <x:c r="A19" t="str">
        <x:v>T-3015</x:v>
      </x:c>
      <x:c r="B19" t="str">
        <x:v>D-2024</x:v>
      </x:c>
      <x:c r="C19" t="str">
        <x:v>AutoFix 47</x:v>
      </x:c>
      <x:c r="D19" t="str">
        <x:v>Follow up</x:v>
      </x:c>
      <x:c r="E19" t="str">
        <x:v>High</x:v>
      </x:c>
      <x:c r="F19" t="str">
        <x:v>In progress</x:v>
      </x:c>
      <x:c r="G19" s="38" t="n">
        <x:v>46124</x:v>
      </x:c>
      <x:c r="H19" t="str">
        <x:v>Sofia</x:v>
      </x:c>
    </x:row>
    <x:row r="20">
      <x:c r="A20" t="str">
        <x:v>T-3016</x:v>
      </x:c>
      <x:c r="B20" t="str">
        <x:v>D-2013</x:v>
      </x:c>
      <x:c r="C20" t="str">
        <x:v>CryptoDesk 64</x:v>
      </x:c>
      <x:c r="D20" t="str">
        <x:v>Invoice</x:v>
      </x:c>
      <x:c r="E20" t="str">
        <x:v>Low</x:v>
      </x:c>
      <x:c r="F20" t="str">
        <x:v>In progress</x:v>
      </x:c>
      <x:c r="G20" s="38" t="n">
        <x:v>46152</x:v>
      </x:c>
      <x:c r="H20" t="str">
        <x:v>Olga</x:v>
      </x:c>
    </x:row>
    <x:row r="21">
      <x:c r="A21" t="str">
        <x:v>T-3017</x:v>
      </x:c>
      <x:c r="B21" t="str">
        <x:v>D-2119</x:v>
      </x:c>
      <x:c r="C21" t="str">
        <x:v>BrightLabs 73</x:v>
      </x:c>
      <x:c r="D21" t="str">
        <x:v>Prepare dashboard</x:v>
      </x:c>
      <x:c r="E21" t="str">
        <x:v>Low</x:v>
      </x:c>
      <x:c r="F21" t="str">
        <x:v>Open</x:v>
      </x:c>
      <x:c r="G21" s="38" t="n">
        <x:v>46087</x:v>
      </x:c>
      <x:c r="H21" t="str">
        <x:v>Sofia</x:v>
      </x:c>
    </x:row>
    <x:row r="22">
      <x:c r="A22" t="str">
        <x:v>T-3018</x:v>
      </x:c>
      <x:c r="B22" t="str">
        <x:v>D-2094</x:v>
      </x:c>
      <x:c r="C22" t="str">
        <x:v>HealthPlus 39</x:v>
      </x:c>
      <x:c r="D22" t="str">
        <x:v>Data request</x:v>
      </x:c>
      <x:c r="E22" t="str">
        <x:v>High</x:v>
      </x:c>
      <x:c r="F22" t="str">
        <x:v>Open</x:v>
      </x:c>
      <x:c r="G22" s="38" t="n">
        <x:v>46128</x:v>
      </x:c>
      <x:c r="H22" t="str">
        <x:v>Elena</x:v>
      </x:c>
    </x:row>
    <x:row r="23">
      <x:c r="A23" t="str">
        <x:v>T-3019</x:v>
      </x:c>
      <x:c r="B23" t="str">
        <x:v>D-2007</x:v>
      </x:c>
      <x:c r="C23" t="str">
        <x:v>HealthPlus 28</x:v>
      </x:c>
      <x:c r="D23" t="str">
        <x:v>Invoice</x:v>
      </x:c>
      <x:c r="E23" t="str">
        <x:v>Medium</x:v>
      </x:c>
      <x:c r="F23" t="str">
        <x:v>Open</x:v>
      </x:c>
      <x:c r="G23" s="38" t="n">
        <x:v>46064</x:v>
      </x:c>
      <x:c r="H23" t="str">
        <x:v>Anna</x:v>
      </x:c>
    </x:row>
    <x:row r="24">
      <x:c r="A24" t="str">
        <x:v>T-3020</x:v>
      </x:c>
      <x:c r="B24" t="str">
        <x:v>D-2029</x:v>
      </x:c>
      <x:c r="C24" t="str">
        <x:v>FitLife 27</x:v>
      </x:c>
      <x:c r="D24" t="str">
        <x:v>Data request</x:v>
      </x:c>
      <x:c r="E24" t="str">
        <x:v>Critical</x:v>
      </x:c>
      <x:c r="F24" t="str">
        <x:v>Done</x:v>
      </x:c>
      <x:c r="G24" s="38" t="n">
        <x:v>46095</x:v>
      </x:c>
      <x:c r="H24" t="str">
        <x:v>Olga</x:v>
      </x:c>
    </x:row>
    <x:row r="25">
      <x:c r="A25" t="str">
        <x:v>T-3021</x:v>
      </x:c>
      <x:c r="B25" t="str">
        <x:v>D-2067</x:v>
      </x:c>
      <x:c r="C25" t="str">
        <x:v>BeautyLab 68</x:v>
      </x:c>
      <x:c r="D25" t="str">
        <x:v>Invoice</x:v>
      </x:c>
      <x:c r="E25" t="str">
        <x:v>Medium</x:v>
      </x:c>
      <x:c r="F25" t="str">
        <x:v>Done</x:v>
      </x:c>
      <x:c r="G25" s="38" t="n">
        <x:v>46121</x:v>
      </x:c>
      <x:c r="H25" t="str">
        <x:v>Daria</x:v>
      </x:c>
    </x:row>
    <x:row r="26">
      <x:c r="A26" t="str">
        <x:v>T-3022</x:v>
      </x:c>
      <x:c r="B26" t="str">
        <x:v>D-2050</x:v>
      </x:c>
      <x:c r="C26" t="str">
        <x:v>BeautyLab 68</x:v>
      </x:c>
      <x:c r="D26" t="str">
        <x:v>Send proposal</x:v>
      </x:c>
      <x:c r="E26" t="str">
        <x:v>Critical</x:v>
      </x:c>
      <x:c r="F26" t="str">
        <x:v>Blocked</x:v>
      </x:c>
      <x:c r="G26" s="38" t="n">
        <x:v>46133</x:v>
      </x:c>
      <x:c r="H26" t="str">
        <x:v>Anna</x:v>
      </x:c>
    </x:row>
    <x:row r="27">
      <x:c r="A27" t="str">
        <x:v>T-3023</x:v>
      </x:c>
      <x:c r="B27" t="str">
        <x:v>D-2106</x:v>
      </x:c>
      <x:c r="C27" t="str">
        <x:v>EduPro 74</x:v>
      </x:c>
      <x:c r="D27" t="str">
        <x:v>Follow up</x:v>
      </x:c>
      <x:c r="E27" t="str">
        <x:v>High</x:v>
      </x:c>
      <x:c r="F27" t="str">
        <x:v>Done</x:v>
      </x:c>
      <x:c r="G27" s="38" t="n">
        <x:v>46094</x:v>
      </x:c>
      <x:c r="H27" t="str">
        <x:v>Daria</x:v>
      </x:c>
    </x:row>
    <x:row r="28">
      <x:c r="A28" t="str">
        <x:v>T-3024</x:v>
      </x:c>
      <x:c r="B28" t="str">
        <x:v>D-2048</x:v>
      </x:c>
      <x:c r="C28" t="str">
        <x:v>FinCraft 7</x:v>
      </x:c>
      <x:c r="D28" t="str">
        <x:v>Invoice</x:v>
      </x:c>
      <x:c r="E28" t="str">
        <x:v>High</x:v>
      </x:c>
      <x:c r="F28" t="str">
        <x:v>Done</x:v>
      </x:c>
      <x:c r="G28" s="38" t="n">
        <x:v>46120</x:v>
      </x:c>
      <x:c r="H28" t="str">
        <x:v>Olga</x:v>
      </x:c>
    </x:row>
    <x:row r="29">
      <x:c r="A29" t="str">
        <x:v>T-3025</x:v>
      </x:c>
      <x:c r="B29" t="str">
        <x:v>D-2069</x:v>
      </x:c>
      <x:c r="C29" t="str">
        <x:v>EduPro 30</x:v>
      </x:c>
      <x:c r="D29" t="str">
        <x:v>Invoice</x:v>
      </x:c>
      <x:c r="E29" t="str">
        <x:v>Critical</x:v>
      </x:c>
      <x:c r="F29" t="str">
        <x:v>In progress</x:v>
      </x:c>
      <x:c r="G29" s="38" t="n">
        <x:v>46120</x:v>
      </x:c>
      <x:c r="H29" t="str">
        <x:v>Daria</x:v>
      </x:c>
    </x:row>
    <x:row r="30">
      <x:c r="A30" t="str">
        <x:v>T-3026</x:v>
      </x:c>
      <x:c r="B30" t="str">
        <x:v>D-2030</x:v>
      </x:c>
      <x:c r="C30" t="str">
        <x:v>DataPulse 63</x:v>
      </x:c>
      <x:c r="D30" t="str">
        <x:v>Prepare dashboard</x:v>
      </x:c>
      <x:c r="E30" t="str">
        <x:v>Medium</x:v>
      </x:c>
      <x:c r="F30" t="str">
        <x:v>Done</x:v>
      </x:c>
      <x:c r="G30" s="38" t="n">
        <x:v>46073</x:v>
      </x:c>
      <x:c r="H30" t="str">
        <x:v>Daria</x:v>
      </x:c>
    </x:row>
    <x:row r="31">
      <x:c r="A31" t="str">
        <x:v>T-3027</x:v>
      </x:c>
      <x:c r="B31" t="str">
        <x:v>D-2074</x:v>
      </x:c>
      <x:c r="C31" t="str">
        <x:v>EduPro 80</x:v>
      </x:c>
      <x:c r="D31" t="str">
        <x:v>Prepare dashboard</x:v>
      </x:c>
      <x:c r="E31" t="str">
        <x:v>Low</x:v>
      </x:c>
      <x:c r="F31" t="str">
        <x:v>Done</x:v>
      </x:c>
      <x:c r="G31" s="38" t="n">
        <x:v>46055</x:v>
      </x:c>
      <x:c r="H31" t="str">
        <x:v>Elena</x:v>
      </x:c>
    </x:row>
    <x:row r="32">
      <x:c r="A32" t="str">
        <x:v>T-3028</x:v>
      </x:c>
      <x:c r="B32" t="str">
        <x:v>D-2148</x:v>
      </x:c>
      <x:c r="C32" t="str">
        <x:v>BrightLabs 21</x:v>
      </x:c>
      <x:c r="D32" t="str">
        <x:v>Prepare dashboard</x:v>
      </x:c>
      <x:c r="E32" t="str">
        <x:v>High</x:v>
      </x:c>
      <x:c r="F32" t="str">
        <x:v>Done</x:v>
      </x:c>
      <x:c r="G32" s="38" t="n">
        <x:v>46106</x:v>
      </x:c>
      <x:c r="H32" t="str">
        <x:v>Sofia</x:v>
      </x:c>
    </x:row>
    <x:row r="33">
      <x:c r="A33" t="str">
        <x:v>T-3029</x:v>
      </x:c>
      <x:c r="B33" t="str">
        <x:v>D-2108</x:v>
      </x:c>
      <x:c r="C33" t="str">
        <x:v>BeautyLab 10</x:v>
      </x:c>
      <x:c r="D33" t="str">
        <x:v>Invoice</x:v>
      </x:c>
      <x:c r="E33" t="str">
        <x:v>Critical</x:v>
      </x:c>
      <x:c r="F33" t="str">
        <x:v>Open</x:v>
      </x:c>
      <x:c r="G33" s="38" t="n">
        <x:v>46125</x:v>
      </x:c>
      <x:c r="H33" t="str">
        <x:v>Elena</x:v>
      </x:c>
    </x:row>
    <x:row r="34">
      <x:c r="A34" t="str">
        <x:v>T-3030</x:v>
      </x:c>
      <x:c r="B34" t="str">
        <x:v>D-2137</x:v>
      </x:c>
      <x:c r="C34" t="str">
        <x:v>FoodBox 46</x:v>
      </x:c>
      <x:c r="D34" t="str">
        <x:v>Follow up</x:v>
      </x:c>
      <x:c r="E34" t="str">
        <x:v>High</x:v>
      </x:c>
      <x:c r="F34" t="str">
        <x:v>Open</x:v>
      </x:c>
      <x:c r="G34" s="38" t="n">
        <x:v>46098</x:v>
      </x:c>
      <x:c r="H34" t="str">
        <x:v>Elena</x:v>
      </x:c>
    </x:row>
    <x:row r="35">
      <x:c r="A35" t="str">
        <x:v>T-3031</x:v>
      </x:c>
      <x:c r="B35" t="str">
        <x:v>D-2094</x:v>
      </x:c>
      <x:c r="C35" t="str">
        <x:v>HealthPlus 39</x:v>
      </x:c>
      <x:c r="D35" t="str">
        <x:v>Invoice</x:v>
      </x:c>
      <x:c r="E35" t="str">
        <x:v>Critical</x:v>
      </x:c>
      <x:c r="F35" t="str">
        <x:v>Open</x:v>
      </x:c>
      <x:c r="G35" s="38" t="n">
        <x:v>46131</x:v>
      </x:c>
      <x:c r="H35" t="str">
        <x:v>Maria</x:v>
      </x:c>
    </x:row>
    <x:row r="36">
      <x:c r="A36" t="str">
        <x:v>T-3032</x:v>
      </x:c>
      <x:c r="B36" t="str">
        <x:v>D-2138</x:v>
      </x:c>
      <x:c r="C36" t="str">
        <x:v>GreenHome 58</x:v>
      </x:c>
      <x:c r="D36" t="str">
        <x:v>Send proposal</x:v>
      </x:c>
      <x:c r="E36" t="str">
        <x:v>Medium</x:v>
      </x:c>
      <x:c r="F36" t="str">
        <x:v>In progress</x:v>
      </x:c>
      <x:c r="G36" s="38" t="n">
        <x:v>46167</x:v>
      </x:c>
      <x:c r="H36" t="str">
        <x:v>Anna</x:v>
      </x:c>
    </x:row>
    <x:row r="37">
      <x:c r="A37" t="str">
        <x:v>T-3033</x:v>
      </x:c>
      <x:c r="B37" t="str">
        <x:v>D-2090</x:v>
      </x:c>
      <x:c r="C37" t="str">
        <x:v>EduPro 75</x:v>
      </x:c>
      <x:c r="D37" t="str">
        <x:v>Send proposal</x:v>
      </x:c>
      <x:c r="E37" t="str">
        <x:v>Low</x:v>
      </x:c>
      <x:c r="F37" t="str">
        <x:v>Done</x:v>
      </x:c>
      <x:c r="G37" s="38" t="n">
        <x:v>46130</x:v>
      </x:c>
      <x:c r="H37" t="str">
        <x:v>Sofia</x:v>
      </x:c>
    </x:row>
    <x:row r="38">
      <x:c r="A38" t="str">
        <x:v>T-3034</x:v>
      </x:c>
      <x:c r="B38" t="str">
        <x:v>D-2032</x:v>
      </x:c>
      <x:c r="C38" t="str">
        <x:v>BeautyLab 10</x:v>
      </x:c>
      <x:c r="D38" t="str">
        <x:v>Data request</x:v>
      </x:c>
      <x:c r="E38" t="str">
        <x:v>Medium</x:v>
      </x:c>
      <x:c r="F38" t="str">
        <x:v>Done</x:v>
      </x:c>
      <x:c r="G38" s="38" t="n">
        <x:v>46136</x:v>
      </x:c>
      <x:c r="H38" t="str">
        <x:v>Olga</x:v>
      </x:c>
    </x:row>
    <x:row r="39">
      <x:c r="A39" t="str">
        <x:v>T-3035</x:v>
      </x:c>
      <x:c r="B39" t="str">
        <x:v>D-2011</x:v>
      </x:c>
      <x:c r="C39" t="str">
        <x:v>HealthPlus 42</x:v>
      </x:c>
      <x:c r="D39" t="str">
        <x:v>Data request</x:v>
      </x:c>
      <x:c r="E39" t="str">
        <x:v>Critical</x:v>
      </x:c>
      <x:c r="F39" t="str">
        <x:v>Open</x:v>
      </x:c>
      <x:c r="G39" s="38" t="n">
        <x:v>46107</x:v>
      </x:c>
      <x:c r="H39" t="str">
        <x:v>Anna</x:v>
      </x:c>
    </x:row>
    <x:row r="40">
      <x:c r="A40" t="str">
        <x:v>T-3036</x:v>
      </x:c>
      <x:c r="B40" t="str">
        <x:v>D-2075</x:v>
      </x:c>
      <x:c r="C40" t="str">
        <x:v>EduPro 74</x:v>
      </x:c>
      <x:c r="D40" t="str">
        <x:v>Client call</x:v>
      </x:c>
      <x:c r="E40" t="str">
        <x:v>High</x:v>
      </x:c>
      <x:c r="F40" t="str">
        <x:v>Blocked</x:v>
      </x:c>
      <x:c r="G40" s="38" t="n">
        <x:v>46168</x:v>
      </x:c>
      <x:c r="H40" t="str">
        <x:v>Sofia</x:v>
      </x:c>
    </x:row>
    <x:row r="41">
      <x:c r="A41" t="str">
        <x:v>T-3037</x:v>
      </x:c>
      <x:c r="B41" t="str">
        <x:v>D-2042</x:v>
      </x:c>
      <x:c r="C41" t="str">
        <x:v>RealEstate Pro 57</x:v>
      </x:c>
      <x:c r="D41" t="str">
        <x:v>Data request</x:v>
      </x:c>
      <x:c r="E41" t="str">
        <x:v>High</x:v>
      </x:c>
      <x:c r="F41" t="str">
        <x:v>Done</x:v>
      </x:c>
      <x:c r="G41" s="38" t="n">
        <x:v>46123</x:v>
      </x:c>
      <x:c r="H41" t="str">
        <x:v>Daria</x:v>
      </x:c>
    </x:row>
    <x:row r="42">
      <x:c r="A42" t="str">
        <x:v>T-3038</x:v>
      </x:c>
      <x:c r="B42" t="str">
        <x:v>D-2001</x:v>
      </x:c>
      <x:c r="C42" t="str">
        <x:v>Northwind 40</x:v>
      </x:c>
      <x:c r="D42" t="str">
        <x:v>Prepare dashboard</x:v>
      </x:c>
      <x:c r="E42" t="str">
        <x:v>Low</x:v>
      </x:c>
      <x:c r="F42" t="str">
        <x:v>Done</x:v>
      </x:c>
      <x:c r="G42" s="38" t="n">
        <x:v>46106</x:v>
      </x:c>
      <x:c r="H42" t="str">
        <x:v>Daria</x:v>
      </x:c>
    </x:row>
    <x:row r="43">
      <x:c r="A43" t="str">
        <x:v>T-3039</x:v>
      </x:c>
      <x:c r="B43" t="str">
        <x:v>D-2047</x:v>
      </x:c>
      <x:c r="C43" t="str">
        <x:v>EduPro 75</x:v>
      </x:c>
      <x:c r="D43" t="str">
        <x:v>Prepare dashboard</x:v>
      </x:c>
      <x:c r="E43" t="str">
        <x:v>High</x:v>
      </x:c>
      <x:c r="F43" t="str">
        <x:v>Open</x:v>
      </x:c>
      <x:c r="G43" s="38" t="n">
        <x:v>46083</x:v>
      </x:c>
      <x:c r="H43" t="str">
        <x:v>Sofia</x:v>
      </x:c>
    </x:row>
    <x:row r="44">
      <x:c r="A44" t="str">
        <x:v>T-3040</x:v>
      </x:c>
      <x:c r="B44" t="str">
        <x:v>D-2137</x:v>
      </x:c>
      <x:c r="C44" t="str">
        <x:v>FoodBox 46</x:v>
      </x:c>
      <x:c r="D44" t="str">
        <x:v>Invoice</x:v>
      </x:c>
      <x:c r="E44" t="str">
        <x:v>Critical</x:v>
      </x:c>
      <x:c r="F44" t="str">
        <x:v>Open</x:v>
      </x:c>
      <x:c r="G44" s="38" t="n">
        <x:v>46134</x:v>
      </x:c>
      <x:c r="H44" t="str">
        <x:v>Elena</x:v>
      </x:c>
    </x:row>
    <x:row r="45">
      <x:c r="A45" t="str">
        <x:v>T-3041</x:v>
      </x:c>
      <x:c r="B45" t="str">
        <x:v>D-2009</x:v>
      </x:c>
      <x:c r="C45" t="str">
        <x:v>GreenHome 65</x:v>
      </x:c>
      <x:c r="D45" t="str">
        <x:v>Invoice</x:v>
      </x:c>
      <x:c r="E45" t="str">
        <x:v>Critical</x:v>
      </x:c>
      <x:c r="F45" t="str">
        <x:v>Open</x:v>
      </x:c>
      <x:c r="G45" s="38" t="n">
        <x:v>46166</x:v>
      </x:c>
      <x:c r="H45" t="str">
        <x:v>Daria</x:v>
      </x:c>
    </x:row>
    <x:row r="46">
      <x:c r="A46" t="str">
        <x:v>T-3042</x:v>
      </x:c>
      <x:c r="B46" t="str">
        <x:v>D-2066</x:v>
      </x:c>
      <x:c r="C46" t="str">
        <x:v>FoodBox 12</x:v>
      </x:c>
      <x:c r="D46" t="str">
        <x:v>Follow up</x:v>
      </x:c>
      <x:c r="E46" t="str">
        <x:v>High</x:v>
      </x:c>
      <x:c r="F46" t="str">
        <x:v>In progress</x:v>
      </x:c>
      <x:c r="G46" s="38" t="n">
        <x:v>46147</x:v>
      </x:c>
      <x:c r="H46" t="str">
        <x:v>Anna</x:v>
      </x:c>
    </x:row>
    <x:row r="47">
      <x:c r="A47" t="str">
        <x:v>T-3043</x:v>
      </x:c>
      <x:c r="B47" t="str">
        <x:v>D-2084</x:v>
      </x:c>
      <x:c r="C47" t="str">
        <x:v>RealEstate Pro 57</x:v>
      </x:c>
      <x:c r="D47" t="str">
        <x:v>Send proposal</x:v>
      </x:c>
      <x:c r="E47" t="str">
        <x:v>High</x:v>
      </x:c>
      <x:c r="F47" t="str">
        <x:v>In progress</x:v>
      </x:c>
      <x:c r="G47" s="38" t="n">
        <x:v>46141</x:v>
      </x:c>
      <x:c r="H47" t="str">
        <x:v>Elena</x:v>
      </x:c>
    </x:row>
    <x:row r="48">
      <x:c r="A48" t="str">
        <x:v>T-3044</x:v>
      </x:c>
      <x:c r="B48" t="str">
        <x:v>D-2127</x:v>
      </x:c>
      <x:c r="C48" t="str">
        <x:v>HealthPlus 42</x:v>
      </x:c>
      <x:c r="D48" t="str">
        <x:v>Invoice</x:v>
      </x:c>
      <x:c r="E48" t="str">
        <x:v>High</x:v>
      </x:c>
      <x:c r="F48" t="str">
        <x:v>In progress</x:v>
      </x:c>
      <x:c r="G48" s="38" t="n">
        <x:v>46098</x:v>
      </x:c>
      <x:c r="H48" t="str">
        <x:v>Anna</x:v>
      </x:c>
    </x:row>
    <x:row r="49">
      <x:c r="A49" t="str">
        <x:v>T-3045</x:v>
      </x:c>
      <x:c r="B49" t="str">
        <x:v>D-2085</x:v>
      </x:c>
      <x:c r="C49" t="str">
        <x:v>DataPulse 31</x:v>
      </x:c>
      <x:c r="D49" t="str">
        <x:v>Send proposal</x:v>
      </x:c>
      <x:c r="E49" t="str">
        <x:v>Medium</x:v>
      </x:c>
      <x:c r="F49" t="str">
        <x:v>Done</x:v>
      </x:c>
      <x:c r="G49" s="38" t="n">
        <x:v>46100</x:v>
      </x:c>
      <x:c r="H49" t="str">
        <x:v>Elena</x:v>
      </x:c>
    </x:row>
    <x:row r="50">
      <x:c r="A50" t="str">
        <x:v>T-3046</x:v>
      </x:c>
      <x:c r="B50" t="str">
        <x:v>D-2145</x:v>
      </x:c>
      <x:c r="C50" t="str">
        <x:v>CloudNine 43</x:v>
      </x:c>
      <x:c r="D50" t="str">
        <x:v>Data request</x:v>
      </x:c>
      <x:c r="E50" t="str">
        <x:v>Critical</x:v>
      </x:c>
      <x:c r="F50" t="str">
        <x:v>Open</x:v>
      </x:c>
      <x:c r="G50" s="38" t="n">
        <x:v>46068</x:v>
      </x:c>
      <x:c r="H50" t="str">
        <x:v>Sofia</x:v>
      </x:c>
    </x:row>
    <x:row r="51">
      <x:c r="A51" t="str">
        <x:v>T-3047</x:v>
      </x:c>
      <x:c r="B51" t="str">
        <x:v>D-2060</x:v>
      </x:c>
      <x:c r="C51" t="str">
        <x:v>Nord Studio 2</x:v>
      </x:c>
      <x:c r="D51" t="str">
        <x:v>Data request</x:v>
      </x:c>
      <x:c r="E51" t="str">
        <x:v>Medium</x:v>
      </x:c>
      <x:c r="F51" t="str">
        <x:v>Done</x:v>
      </x:c>
      <x:c r="G51" s="38" t="n">
        <x:v>46082</x:v>
      </x:c>
      <x:c r="H51" t="str">
        <x:v>Maria</x:v>
      </x:c>
    </x:row>
    <x:row r="52">
      <x:c r="A52" t="str">
        <x:v>T-3048</x:v>
      </x:c>
      <x:c r="B52" t="str">
        <x:v>D-2139</x:v>
      </x:c>
      <x:c r="C52" t="str">
        <x:v>RealEstate Pro 6</x:v>
      </x:c>
      <x:c r="D52" t="str">
        <x:v>Follow up</x:v>
      </x:c>
      <x:c r="E52" t="str">
        <x:v>Critical</x:v>
      </x:c>
      <x:c r="F52" t="str">
        <x:v>In progress</x:v>
      </x:c>
      <x:c r="G52" s="38" t="n">
        <x:v>46094</x:v>
      </x:c>
      <x:c r="H52" t="str">
        <x:v>Olga</x:v>
      </x:c>
    </x:row>
    <x:row r="53">
      <x:c r="A53" t="str">
        <x:v>T-3049</x:v>
      </x:c>
      <x:c r="B53" t="str">
        <x:v>D-2065</x:v>
      </x:c>
      <x:c r="C53" t="str">
        <x:v>Baltic Retail 17</x:v>
      </x:c>
      <x:c r="D53" t="str">
        <x:v>Send proposal</x:v>
      </x:c>
      <x:c r="E53" t="str">
        <x:v>Low</x:v>
      </x:c>
      <x:c r="F53" t="str">
        <x:v>Done</x:v>
      </x:c>
      <x:c r="G53" s="38" t="n">
        <x:v>46137</x:v>
      </x:c>
      <x:c r="H53" t="str">
        <x:v>Anna</x:v>
      </x:c>
    </x:row>
    <x:row r="54">
      <x:c r="A54" t="str">
        <x:v>T-3050</x:v>
      </x:c>
      <x:c r="B54" t="str">
        <x:v>D-2113</x:v>
      </x:c>
      <x:c r="C54" t="str">
        <x:v>RealEstate Pro 6</x:v>
      </x:c>
      <x:c r="D54" t="str">
        <x:v>Invoice</x:v>
      </x:c>
      <x:c r="E54" t="str">
        <x:v>High</x:v>
      </x:c>
      <x:c r="F54" t="str">
        <x:v>In progress</x:v>
      </x:c>
      <x:c r="G54" s="38" t="n">
        <x:v>46146</x:v>
      </x:c>
      <x:c r="H54" t="str">
        <x:v>Daria</x:v>
      </x:c>
    </x:row>
    <x:row r="55">
      <x:c r="A55" t="str">
        <x:v>T-3051</x:v>
      </x:c>
      <x:c r="B55" t="str">
        <x:v>D-2029</x:v>
      </x:c>
      <x:c r="C55" t="str">
        <x:v>FitLife 27</x:v>
      </x:c>
      <x:c r="D55" t="str">
        <x:v>Send proposal</x:v>
      </x:c>
      <x:c r="E55" t="str">
        <x:v>High</x:v>
      </x:c>
      <x:c r="F55" t="str">
        <x:v>In progress</x:v>
      </x:c>
      <x:c r="G55" s="38" t="n">
        <x:v>46078</x:v>
      </x:c>
      <x:c r="H55" t="str">
        <x:v>Elena</x:v>
      </x:c>
    </x:row>
    <x:row r="56">
      <x:c r="A56" t="str">
        <x:v>T-3052</x:v>
      </x:c>
      <x:c r="B56" t="str">
        <x:v>D-2118</x:v>
      </x:c>
      <x:c r="C56" t="str">
        <x:v>FitLife 27</x:v>
      </x:c>
      <x:c r="D56" t="str">
        <x:v>Client call</x:v>
      </x:c>
      <x:c r="E56" t="str">
        <x:v>High</x:v>
      </x:c>
      <x:c r="F56" t="str">
        <x:v>Blocked</x:v>
      </x:c>
      <x:c r="G56" s="38" t="n">
        <x:v>46107</x:v>
      </x:c>
      <x:c r="H56" t="str">
        <x:v>Anna</x:v>
      </x:c>
    </x:row>
    <x:row r="57">
      <x:c r="A57" t="str">
        <x:v>T-3053</x:v>
      </x:c>
      <x:c r="B57" t="str">
        <x:v>D-2097</x:v>
      </x:c>
      <x:c r="C57" t="str">
        <x:v>Baltic Retail 33</x:v>
      </x:c>
      <x:c r="D57" t="str">
        <x:v>Follow up</x:v>
      </x:c>
      <x:c r="E57" t="str">
        <x:v>High</x:v>
      </x:c>
      <x:c r="F57" t="str">
        <x:v>Done</x:v>
      </x:c>
      <x:c r="G57" s="38" t="n">
        <x:v>46073</x:v>
      </x:c>
      <x:c r="H57" t="str">
        <x:v>Olga</x:v>
      </x:c>
    </x:row>
    <x:row r="58">
      <x:c r="A58" t="str">
        <x:v>T-3054</x:v>
      </x:c>
      <x:c r="B58" t="str">
        <x:v>D-2131</x:v>
      </x:c>
      <x:c r="C58" t="str">
        <x:v>FitLife 67</x:v>
      </x:c>
      <x:c r="D58" t="str">
        <x:v>Client call</x:v>
      </x:c>
      <x:c r="E58" t="str">
        <x:v>High</x:v>
      </x:c>
      <x:c r="F58" t="str">
        <x:v>Done</x:v>
      </x:c>
      <x:c r="G58" s="38" t="n">
        <x:v>46116</x:v>
      </x:c>
      <x:c r="H58" t="str">
        <x:v>Elena</x:v>
      </x:c>
    </x:row>
    <x:row r="59">
      <x:c r="A59" t="str">
        <x:v>T-3055</x:v>
      </x:c>
      <x:c r="B59" t="str">
        <x:v>D-2002</x:v>
      </x:c>
      <x:c r="C59" t="str">
        <x:v>EduPro 75</x:v>
      </x:c>
      <x:c r="D59" t="str">
        <x:v>Follow up</x:v>
      </x:c>
      <x:c r="E59" t="str">
        <x:v>Critical</x:v>
      </x:c>
      <x:c r="F59" t="str">
        <x:v>In progress</x:v>
      </x:c>
      <x:c r="G59" s="38" t="n">
        <x:v>46154</x:v>
      </x:c>
      <x:c r="H59" t="str">
        <x:v>Daria</x:v>
      </x:c>
    </x:row>
    <x:row r="60">
      <x:c r="A60" t="str">
        <x:v>T-3056</x:v>
      </x:c>
      <x:c r="B60" t="str">
        <x:v>D-2105</x:v>
      </x:c>
      <x:c r="C60" t="str">
        <x:v>CloudNine 11</x:v>
      </x:c>
      <x:c r="D60" t="str">
        <x:v>Data request</x:v>
      </x:c>
      <x:c r="E60" t="str">
        <x:v>Critical</x:v>
      </x:c>
      <x:c r="F60" t="str">
        <x:v>Done</x:v>
      </x:c>
      <x:c r="G60" s="38" t="n">
        <x:v>46138</x:v>
      </x:c>
      <x:c r="H60" t="str">
        <x:v>Anna</x:v>
      </x:c>
    </x:row>
    <x:row r="61">
      <x:c r="A61" t="str">
        <x:v>T-3057</x:v>
      </x:c>
      <x:c r="B61" t="str">
        <x:v>D-2012</x:v>
      </x:c>
      <x:c r="C61" t="str">
        <x:v>BrightLabs 66</x:v>
      </x:c>
      <x:c r="D61" t="str">
        <x:v>Client call</x:v>
      </x:c>
      <x:c r="E61" t="str">
        <x:v>Medium</x:v>
      </x:c>
      <x:c r="F61" t="str">
        <x:v>Open</x:v>
      </x:c>
      <x:c r="G61" s="38" t="n">
        <x:v>46166</x:v>
      </x:c>
      <x:c r="H61" t="str">
        <x:v>Sofia</x:v>
      </x:c>
    </x:row>
    <x:row r="62">
      <x:c r="A62" t="str">
        <x:v>T-3058</x:v>
      </x:c>
      <x:c r="B62" t="str">
        <x:v>D-2091</x:v>
      </x:c>
      <x:c r="C62" t="str">
        <x:v>Nord Studio 45</x:v>
      </x:c>
      <x:c r="D62" t="str">
        <x:v>Send proposal</x:v>
      </x:c>
      <x:c r="E62" t="str">
        <x:v>High</x:v>
      </x:c>
      <x:c r="F62" t="str">
        <x:v>Done</x:v>
      </x:c>
      <x:c r="G62" s="38" t="n">
        <x:v>46105</x:v>
      </x:c>
      <x:c r="H62" t="str">
        <x:v>Sofia</x:v>
      </x:c>
    </x:row>
    <x:row r="63">
      <x:c r="A63" t="str">
        <x:v>T-3059</x:v>
      </x:c>
      <x:c r="B63" t="str">
        <x:v>D-2072</x:v>
      </x:c>
      <x:c r="C63" t="str">
        <x:v>HealthPlus 39</x:v>
      </x:c>
      <x:c r="D63" t="str">
        <x:v>Client call</x:v>
      </x:c>
      <x:c r="E63" t="str">
        <x:v>Medium</x:v>
      </x:c>
      <x:c r="F63" t="str">
        <x:v>In progress</x:v>
      </x:c>
      <x:c r="G63" s="38" t="n">
        <x:v>46162</x:v>
      </x:c>
      <x:c r="H63" t="str">
        <x:v>Olga</x:v>
      </x:c>
    </x:row>
    <x:row r="64">
      <x:c r="A64" t="str">
        <x:v>T-3060</x:v>
      </x:c>
      <x:c r="B64" t="str">
        <x:v>D-2029</x:v>
      </x:c>
      <x:c r="C64" t="str">
        <x:v>FitLife 27</x:v>
      </x:c>
      <x:c r="D64" t="str">
        <x:v>Data request</x:v>
      </x:c>
      <x:c r="E64" t="str">
        <x:v>High</x:v>
      </x:c>
      <x:c r="F64" t="str">
        <x:v>Done</x:v>
      </x:c>
      <x:c r="G64" s="38" t="n">
        <x:v>46162</x:v>
      </x:c>
      <x:c r="H64" t="str">
        <x:v>Daria</x:v>
      </x:c>
    </x:row>
    <x:row r="65">
      <x:c r="A65" t="str">
        <x:v>T-3061</x:v>
      </x:c>
      <x:c r="B65" t="str">
        <x:v>D-2120</x:v>
      </x:c>
      <x:c r="C65" t="str">
        <x:v>HealthPlus 28</x:v>
      </x:c>
      <x:c r="D65" t="str">
        <x:v>Invoice</x:v>
      </x:c>
      <x:c r="E65" t="str">
        <x:v>Critical</x:v>
      </x:c>
      <x:c r="F65" t="str">
        <x:v>Open</x:v>
      </x:c>
      <x:c r="G65" s="38" t="n">
        <x:v>46093</x:v>
      </x:c>
      <x:c r="H65" t="str">
        <x:v>Daria</x:v>
      </x:c>
    </x:row>
    <x:row r="66">
      <x:c r="A66" t="str">
        <x:v>T-3062</x:v>
      </x:c>
      <x:c r="B66" t="str">
        <x:v>D-2141</x:v>
      </x:c>
      <x:c r="C66" t="str">
        <x:v>BeautyLab 10</x:v>
      </x:c>
      <x:c r="D66" t="str">
        <x:v>Prepare dashboard</x:v>
      </x:c>
      <x:c r="E66" t="str">
        <x:v>High</x:v>
      </x:c>
      <x:c r="F66" t="str">
        <x:v>In progress</x:v>
      </x:c>
      <x:c r="G66" s="38" t="n">
        <x:v>46143</x:v>
      </x:c>
      <x:c r="H66" t="str">
        <x:v>Daria</x:v>
      </x:c>
    </x:row>
    <x:row r="67">
      <x:c r="A67" t="str">
        <x:v>T-3063</x:v>
      </x:c>
      <x:c r="B67" t="str">
        <x:v>D-2056</x:v>
      </x:c>
      <x:c r="C67" t="str">
        <x:v>Baltic Retail 33</x:v>
      </x:c>
      <x:c r="D67" t="str">
        <x:v>Data request</x:v>
      </x:c>
      <x:c r="E67" t="str">
        <x:v>Medium</x:v>
      </x:c>
      <x:c r="F67" t="str">
        <x:v>Done</x:v>
      </x:c>
      <x:c r="G67" s="38" t="n">
        <x:v>46091</x:v>
      </x:c>
      <x:c r="H67" t="str">
        <x:v>Sofia</x:v>
      </x:c>
    </x:row>
    <x:row r="68">
      <x:c r="A68" t="str">
        <x:v>T-3064</x:v>
      </x:c>
      <x:c r="B68" t="str">
        <x:v>D-2013</x:v>
      </x:c>
      <x:c r="C68" t="str">
        <x:v>CryptoDesk 64</x:v>
      </x:c>
      <x:c r="D68" t="str">
        <x:v>Data request</x:v>
      </x:c>
      <x:c r="E68" t="str">
        <x:v>Low</x:v>
      </x:c>
      <x:c r="F68" t="str">
        <x:v>Done</x:v>
      </x:c>
      <x:c r="G68" s="38" t="n">
        <x:v>46148</x:v>
      </x:c>
      <x:c r="H68" t="str">
        <x:v>Daria</x:v>
      </x:c>
    </x:row>
    <x:row r="69">
      <x:c r="A69" t="str">
        <x:v>T-3065</x:v>
      </x:c>
      <x:c r="B69" t="str">
        <x:v>D-2152</x:v>
      </x:c>
      <x:c r="C69" t="str">
        <x:v>BeautyLab 71</x:v>
      </x:c>
      <x:c r="D69" t="str">
        <x:v>Send proposal</x:v>
      </x:c>
      <x:c r="E69" t="str">
        <x:v>Medium</x:v>
      </x:c>
      <x:c r="F69" t="str">
        <x:v>Done</x:v>
      </x:c>
      <x:c r="G69" s="38" t="n">
        <x:v>46074</x:v>
      </x:c>
      <x:c r="H69" t="str">
        <x:v>Sofia</x:v>
      </x:c>
    </x:row>
    <x:row r="70">
      <x:c r="A70" t="str">
        <x:v>T-3066</x:v>
      </x:c>
      <x:c r="B70" t="str">
        <x:v>D-2080</x:v>
      </x:c>
      <x:c r="C70" t="str">
        <x:v>BrightLabs 59</x:v>
      </x:c>
      <x:c r="D70" t="str">
        <x:v>Invoice</x:v>
      </x:c>
      <x:c r="E70" t="str">
        <x:v>Critical</x:v>
      </x:c>
      <x:c r="F70" t="str">
        <x:v>Done</x:v>
      </x:c>
      <x:c r="G70" s="38" t="n">
        <x:v>46152</x:v>
      </x:c>
      <x:c r="H70" t="str">
        <x:v>Maria</x:v>
      </x:c>
    </x:row>
    <x:row r="71">
      <x:c r="A71" t="str">
        <x:v>T-3067</x:v>
      </x:c>
      <x:c r="B71" t="str">
        <x:v>D-2095</x:v>
      </x:c>
      <x:c r="C71" t="str">
        <x:v>Baltic Retail 53</x:v>
      </x:c>
      <x:c r="D71" t="str">
        <x:v>Invoice</x:v>
      </x:c>
      <x:c r="E71" t="str">
        <x:v>Medium</x:v>
      </x:c>
      <x:c r="F71" t="str">
        <x:v>Done</x:v>
      </x:c>
      <x:c r="G71" s="38" t="n">
        <x:v>46169</x:v>
      </x:c>
      <x:c r="H71" t="str">
        <x:v>Daria</x:v>
      </x:c>
    </x:row>
    <x:row r="72">
      <x:c r="A72" t="str">
        <x:v>T-3068</x:v>
      </x:c>
      <x:c r="B72" t="str">
        <x:v>D-2144</x:v>
      </x:c>
      <x:c r="C72" t="str">
        <x:v>FreshMarket 36</x:v>
      </x:c>
      <x:c r="D72" t="str">
        <x:v>Invoice</x:v>
      </x:c>
      <x:c r="E72" t="str">
        <x:v>Low</x:v>
      </x:c>
      <x:c r="F72" t="str">
        <x:v>Open</x:v>
      </x:c>
      <x:c r="G72" s="38" t="n">
        <x:v>46100</x:v>
      </x:c>
      <x:c r="H72" t="str">
        <x:v>Daria</x:v>
      </x:c>
    </x:row>
    <x:row r="73">
      <x:c r="A73" t="str">
        <x:v>T-3069</x:v>
      </x:c>
      <x:c r="B73" t="str">
        <x:v>D-2072</x:v>
      </x:c>
      <x:c r="C73" t="str">
        <x:v>HealthPlus 39</x:v>
      </x:c>
      <x:c r="D73" t="str">
        <x:v>Prepare dashboard</x:v>
      </x:c>
      <x:c r="E73" t="str">
        <x:v>Low</x:v>
      </x:c>
      <x:c r="F73" t="str">
        <x:v>Done</x:v>
      </x:c>
      <x:c r="G73" s="38" t="n">
        <x:v>46135</x:v>
      </x:c>
      <x:c r="H73" t="str">
        <x:v>Anna</x:v>
      </x:c>
    </x:row>
    <x:row r="74">
      <x:c r="A74" t="str">
        <x:v>T-3070</x:v>
      </x:c>
      <x:c r="B74" t="str">
        <x:v>D-2010</x:v>
      </x:c>
      <x:c r="C74" t="str">
        <x:v>HealthPlus 28</x:v>
      </x:c>
      <x:c r="D74" t="str">
        <x:v>Invoice</x:v>
      </x:c>
      <x:c r="E74" t="str">
        <x:v>High</x:v>
      </x:c>
      <x:c r="F74" t="str">
        <x:v>Open</x:v>
      </x:c>
      <x:c r="G74" s="38" t="n">
        <x:v>46055</x:v>
      </x:c>
      <x:c r="H74" t="str">
        <x:v>Daria</x:v>
      </x:c>
    </x:row>
    <x:row r="75">
      <x:c r="A75" t="str">
        <x:v>T-3071</x:v>
      </x:c>
      <x:c r="B75" t="str">
        <x:v>D-2127</x:v>
      </x:c>
      <x:c r="C75" t="str">
        <x:v>HealthPlus 42</x:v>
      </x:c>
      <x:c r="D75" t="str">
        <x:v>Client call</x:v>
      </x:c>
      <x:c r="E75" t="str">
        <x:v>Medium</x:v>
      </x:c>
      <x:c r="F75" t="str">
        <x:v>Blocked</x:v>
      </x:c>
      <x:c r="G75" s="38" t="n">
        <x:v>46125</x:v>
      </x:c>
      <x:c r="H75" t="str">
        <x:v>Elena</x:v>
      </x:c>
    </x:row>
    <x:row r="76">
      <x:c r="A76" t="str">
        <x:v>T-3072</x:v>
      </x:c>
      <x:c r="B76" t="str">
        <x:v>D-2062</x:v>
      </x:c>
      <x:c r="C76" t="str">
        <x:v>FinCraft 7</x:v>
      </x:c>
      <x:c r="D76" t="str">
        <x:v>Client call</x:v>
      </x:c>
      <x:c r="E76" t="str">
        <x:v>High</x:v>
      </x:c>
      <x:c r="F76" t="str">
        <x:v>Open</x:v>
      </x:c>
      <x:c r="G76" s="38" t="n">
        <x:v>46128</x:v>
      </x:c>
      <x:c r="H76" t="str">
        <x:v>Sofia</x:v>
      </x:c>
    </x:row>
    <x:row r="77">
      <x:c r="A77" t="str">
        <x:v>T-3073</x:v>
      </x:c>
      <x:c r="B77" t="str">
        <x:v>D-2063</x:v>
      </x:c>
      <x:c r="C77" t="str">
        <x:v>FinCraft 8</x:v>
      </x:c>
      <x:c r="D77" t="str">
        <x:v>Send proposal</x:v>
      </x:c>
      <x:c r="E77" t="str">
        <x:v>High</x:v>
      </x:c>
      <x:c r="F77" t="str">
        <x:v>Done</x:v>
      </x:c>
      <x:c r="G77" s="38" t="n">
        <x:v>46120</x:v>
      </x:c>
      <x:c r="H77" t="str">
        <x:v>Daria</x:v>
      </x:c>
    </x:row>
    <x:row r="78">
      <x:c r="A78" t="str">
        <x:v>T-3074</x:v>
      </x:c>
      <x:c r="B78" t="str">
        <x:v>D-2020</x:v>
      </x:c>
      <x:c r="C78" t="str">
        <x:v>FoodBox 12</x:v>
      </x:c>
      <x:c r="D78" t="str">
        <x:v>Data request</x:v>
      </x:c>
      <x:c r="E78" t="str">
        <x:v>Critical</x:v>
      </x:c>
      <x:c r="F78" t="str">
        <x:v>Open</x:v>
      </x:c>
      <x:c r="G78" s="38" t="n">
        <x:v>46070</x:v>
      </x:c>
      <x:c r="H78" t="str">
        <x:v>Daria</x:v>
      </x:c>
    </x:row>
    <x:row r="79">
      <x:c r="A79" t="str">
        <x:v>T-3075</x:v>
      </x:c>
      <x:c r="B79" t="str">
        <x:v>D-2149</x:v>
      </x:c>
      <x:c r="C79" t="str">
        <x:v>AutoFix 32</x:v>
      </x:c>
      <x:c r="D79" t="str">
        <x:v>Invoice</x:v>
      </x:c>
      <x:c r="E79" t="str">
        <x:v>Medium</x:v>
      </x:c>
      <x:c r="F79" t="str">
        <x:v>Done</x:v>
      </x:c>
      <x:c r="G79" s="38" t="n">
        <x:v>46078</x:v>
      </x:c>
      <x:c r="H79" t="str">
        <x:v>Sofia</x:v>
      </x:c>
    </x:row>
    <x:row r="80">
      <x:c r="A80" t="str">
        <x:v>T-3076</x:v>
      </x:c>
      <x:c r="B80" t="str">
        <x:v>D-2012</x:v>
      </x:c>
      <x:c r="C80" t="str">
        <x:v>BrightLabs 66</x:v>
      </x:c>
      <x:c r="D80" t="str">
        <x:v>Client call</x:v>
      </x:c>
      <x:c r="E80" t="str">
        <x:v>Critical</x:v>
      </x:c>
      <x:c r="F80" t="str">
        <x:v>Done</x:v>
      </x:c>
      <x:c r="G80" s="38" t="n">
        <x:v>46150</x:v>
      </x:c>
      <x:c r="H80" t="str">
        <x:v>Anna</x:v>
      </x:c>
    </x:row>
    <x:row r="81">
      <x:c r="A81" t="str">
        <x:v>T-3077</x:v>
      </x:c>
      <x:c r="B81" t="str">
        <x:v>D-2127</x:v>
      </x:c>
      <x:c r="C81" t="str">
        <x:v>HealthPlus 42</x:v>
      </x:c>
      <x:c r="D81" t="str">
        <x:v>Follow up</x:v>
      </x:c>
      <x:c r="E81" t="str">
        <x:v>High</x:v>
      </x:c>
      <x:c r="F81" t="str">
        <x:v>Blocked</x:v>
      </x:c>
      <x:c r="G81" s="38" t="n">
        <x:v>46080</x:v>
      </x:c>
      <x:c r="H81" t="str">
        <x:v>Sofia</x:v>
      </x:c>
    </x:row>
    <x:row r="82">
      <x:c r="A82" t="str">
        <x:v>T-3078</x:v>
      </x:c>
      <x:c r="B82" t="str">
        <x:v>D-2060</x:v>
      </x:c>
      <x:c r="C82" t="str">
        <x:v>Nord Studio 2</x:v>
      </x:c>
      <x:c r="D82" t="str">
        <x:v>Client call</x:v>
      </x:c>
      <x:c r="E82" t="str">
        <x:v>Critical</x:v>
      </x:c>
      <x:c r="F82" t="str">
        <x:v>Done</x:v>
      </x:c>
      <x:c r="G82" s="38" t="n">
        <x:v>46134</x:v>
      </x:c>
      <x:c r="H82" t="str">
        <x:v>Olga</x:v>
      </x:c>
    </x:row>
    <x:row r="83">
      <x:c r="A83" t="str">
        <x:v>T-3079</x:v>
      </x:c>
      <x:c r="B83" t="str">
        <x:v>D-2148</x:v>
      </x:c>
      <x:c r="C83" t="str">
        <x:v>BrightLabs 21</x:v>
      </x:c>
      <x:c r="D83" t="str">
        <x:v>Client call</x:v>
      </x:c>
      <x:c r="E83" t="str">
        <x:v>Critical</x:v>
      </x:c>
      <x:c r="F83" t="str">
        <x:v>Done</x:v>
      </x:c>
      <x:c r="G83" s="38" t="n">
        <x:v>46133</x:v>
      </x:c>
      <x:c r="H83" t="str">
        <x:v>Anna</x:v>
      </x:c>
    </x:row>
    <x:row r="84">
      <x:c r="A84" t="str">
        <x:v>T-3080</x:v>
      </x:c>
      <x:c r="B84" t="str">
        <x:v>D-2125</x:v>
      </x:c>
      <x:c r="C84" t="str">
        <x:v>BeautyLab 71</x:v>
      </x:c>
      <x:c r="D84" t="str">
        <x:v>Data request</x:v>
      </x:c>
      <x:c r="E84" t="str">
        <x:v>Low</x:v>
      </x:c>
      <x:c r="F84" t="str">
        <x:v>Open</x:v>
      </x:c>
      <x:c r="G84" s="38" t="n">
        <x:v>46055</x:v>
      </x:c>
      <x:c r="H84" t="str">
        <x:v>Olga</x:v>
      </x:c>
    </x:row>
    <x:row r="85">
      <x:c r="A85" t="str">
        <x:v>T-3081</x:v>
      </x:c>
      <x:c r="B85" t="str">
        <x:v>D-2129</x:v>
      </x:c>
      <x:c r="C85" t="str">
        <x:v>DataPulse 63</x:v>
      </x:c>
      <x:c r="D85" t="str">
        <x:v>Client call</x:v>
      </x:c>
      <x:c r="E85" t="str">
        <x:v>Critical</x:v>
      </x:c>
      <x:c r="F85" t="str">
        <x:v>Done</x:v>
      </x:c>
      <x:c r="G85" s="38" t="n">
        <x:v>46166</x:v>
      </x:c>
      <x:c r="H85" t="str">
        <x:v>Maria</x:v>
      </x:c>
    </x:row>
    <x:row r="86">
      <x:c r="A86" t="str">
        <x:v>T-3082</x:v>
      </x:c>
      <x:c r="B86" t="str">
        <x:v>D-2099</x:v>
      </x:c>
      <x:c r="C86" t="str">
        <x:v>AutoFix 32</x:v>
      </x:c>
      <x:c r="D86" t="str">
        <x:v>Invoice</x:v>
      </x:c>
      <x:c r="E86" t="str">
        <x:v>High</x:v>
      </x:c>
      <x:c r="F86" t="str">
        <x:v>Open</x:v>
      </x:c>
      <x:c r="G86" s="38" t="n">
        <x:v>46091</x:v>
      </x:c>
      <x:c r="H86" t="str">
        <x:v>Anna</x:v>
      </x:c>
    </x:row>
    <x:row r="87">
      <x:c r="A87" t="str">
        <x:v>T-3083</x:v>
      </x:c>
      <x:c r="B87" t="str">
        <x:v>D-2122</x:v>
      </x:c>
      <x:c r="C87" t="str">
        <x:v>Nord Studio 2</x:v>
      </x:c>
      <x:c r="D87" t="str">
        <x:v>Data request</x:v>
      </x:c>
      <x:c r="E87" t="str">
        <x:v>Critical</x:v>
      </x:c>
      <x:c r="F87" t="str">
        <x:v>Open</x:v>
      </x:c>
      <x:c r="G87" s="38" t="n">
        <x:v>46054</x:v>
      </x:c>
      <x:c r="H87" t="str">
        <x:v>Daria</x:v>
      </x:c>
    </x:row>
    <x:row r="88">
      <x:c r="A88" t="str">
        <x:v>T-3084</x:v>
      </x:c>
      <x:c r="B88" t="str">
        <x:v>D-2047</x:v>
      </x:c>
      <x:c r="C88" t="str">
        <x:v>EduPro 75</x:v>
      </x:c>
      <x:c r="D88" t="str">
        <x:v>Prepare dashboard</x:v>
      </x:c>
      <x:c r="E88" t="str">
        <x:v>Medium</x:v>
      </x:c>
      <x:c r="F88" t="str">
        <x:v>Open</x:v>
      </x:c>
      <x:c r="G88" s="38" t="n">
        <x:v>46100</x:v>
      </x:c>
      <x:c r="H88" t="str">
        <x:v>Elena</x:v>
      </x:c>
    </x:row>
    <x:row r="89">
      <x:c r="A89" t="str">
        <x:v>T-3085</x:v>
      </x:c>
      <x:c r="B89" t="str">
        <x:v>D-2126</x:v>
      </x:c>
      <x:c r="C89" t="str">
        <x:v>EduPro 50</x:v>
      </x:c>
      <x:c r="D89" t="str">
        <x:v>Follow up</x:v>
      </x:c>
      <x:c r="E89" t="str">
        <x:v>Low</x:v>
      </x:c>
      <x:c r="F89" t="str">
        <x:v>Open</x:v>
      </x:c>
      <x:c r="G89" s="38" t="n">
        <x:v>46125</x:v>
      </x:c>
      <x:c r="H89" t="str">
        <x:v>Maria</x:v>
      </x:c>
    </x:row>
    <x:row r="90">
      <x:c r="A90" t="str">
        <x:v>T-3086</x:v>
      </x:c>
      <x:c r="B90" t="str">
        <x:v>D-2140</x:v>
      </x:c>
      <x:c r="C90" t="str">
        <x:v>Travelio 61</x:v>
      </x:c>
      <x:c r="D90" t="str">
        <x:v>Invoice</x:v>
      </x:c>
      <x:c r="E90" t="str">
        <x:v>High</x:v>
      </x:c>
      <x:c r="F90" t="str">
        <x:v>Open</x:v>
      </x:c>
      <x:c r="G90" s="38" t="n">
        <x:v>46092</x:v>
      </x:c>
      <x:c r="H90" t="str">
        <x:v>Sofia</x:v>
      </x:c>
    </x:row>
    <x:row r="91">
      <x:c r="A91" t="str">
        <x:v>T-3087</x:v>
      </x:c>
      <x:c r="B91" t="str">
        <x:v>D-2117</x:v>
      </x:c>
      <x:c r="C91" t="str">
        <x:v>BrightLabs 59</x:v>
      </x:c>
      <x:c r="D91" t="str">
        <x:v>Data request</x:v>
      </x:c>
      <x:c r="E91" t="str">
        <x:v>Medium</x:v>
      </x:c>
      <x:c r="F91" t="str">
        <x:v>In progress</x:v>
      </x:c>
      <x:c r="G91" s="38" t="n">
        <x:v>46167</x:v>
      </x:c>
      <x:c r="H91" t="str">
        <x:v>Olga</x:v>
      </x:c>
    </x:row>
    <x:row r="92">
      <x:c r="A92" t="str">
        <x:v>T-3088</x:v>
      </x:c>
      <x:c r="B92" t="str">
        <x:v>D-2135</x:v>
      </x:c>
      <x:c r="C92" t="str">
        <x:v>Baltic Retail 38</x:v>
      </x:c>
      <x:c r="D92" t="str">
        <x:v>Send proposal</x:v>
      </x:c>
      <x:c r="E92" t="str">
        <x:v>High</x:v>
      </x:c>
      <x:c r="F92" t="str">
        <x:v>Open</x:v>
      </x:c>
      <x:c r="G92" s="38" t="n">
        <x:v>46159</x:v>
      </x:c>
      <x:c r="H92" t="str">
        <x:v>Olga</x:v>
      </x:c>
    </x:row>
    <x:row r="93">
      <x:c r="A93" t="str">
        <x:v>T-3089</x:v>
      </x:c>
      <x:c r="B93" t="str">
        <x:v>D-2154</x:v>
      </x:c>
      <x:c r="C93" t="str">
        <x:v>BrightLabs 16</x:v>
      </x:c>
      <x:c r="D93" t="str">
        <x:v>Invoice</x:v>
      </x:c>
      <x:c r="E93" t="str">
        <x:v>Medium</x:v>
      </x:c>
      <x:c r="F93" t="str">
        <x:v>Open</x:v>
      </x:c>
      <x:c r="G93" s="38" t="n">
        <x:v>46161</x:v>
      </x:c>
      <x:c r="H93" t="str">
        <x:v>Daria</x:v>
      </x:c>
    </x:row>
    <x:row r="94">
      <x:c r="A94" t="str">
        <x:v>T-3090</x:v>
      </x:c>
      <x:c r="B94" t="str">
        <x:v>D-2144</x:v>
      </x:c>
      <x:c r="C94" t="str">
        <x:v>FreshMarket 36</x:v>
      </x:c>
      <x:c r="D94" t="str">
        <x:v>Prepare dashboard</x:v>
      </x:c>
      <x:c r="E94" t="str">
        <x:v>Low</x:v>
      </x:c>
      <x:c r="F94" t="str">
        <x:v>Done</x:v>
      </x:c>
      <x:c r="G94" s="38" t="n">
        <x:v>46172</x:v>
      </x:c>
      <x:c r="H94" t="str">
        <x:v>Olga</x:v>
      </x:c>
    </x:row>
    <x:row r="95">
      <x:c r="A95" t="str">
        <x:v>T-3091</x:v>
      </x:c>
      <x:c r="B95" t="str">
        <x:v>D-2085</x:v>
      </x:c>
      <x:c r="C95" t="str">
        <x:v>DataPulse 31</x:v>
      </x:c>
      <x:c r="D95" t="str">
        <x:v>Client call</x:v>
      </x:c>
      <x:c r="E95" t="str">
        <x:v>Critical</x:v>
      </x:c>
      <x:c r="F95" t="str">
        <x:v>In progress</x:v>
      </x:c>
      <x:c r="G95" s="38" t="n">
        <x:v>46066</x:v>
      </x:c>
      <x:c r="H95" t="str">
        <x:v>Anna</x:v>
      </x:c>
    </x:row>
    <x:row r="96">
      <x:c r="A96" t="str">
        <x:v>T-3092</x:v>
      </x:c>
      <x:c r="B96" t="str">
        <x:v>D-2020</x:v>
      </x:c>
      <x:c r="C96" t="str">
        <x:v>FoodBox 12</x:v>
      </x:c>
      <x:c r="D96" t="str">
        <x:v>Client call</x:v>
      </x:c>
      <x:c r="E96" t="str">
        <x:v>High</x:v>
      </x:c>
      <x:c r="F96" t="str">
        <x:v>Done</x:v>
      </x:c>
      <x:c r="G96" s="38" t="n">
        <x:v>46074</x:v>
      </x:c>
      <x:c r="H96" t="str">
        <x:v>Anna</x:v>
      </x:c>
    </x:row>
    <x:row r="97">
      <x:c r="A97" t="str">
        <x:v>T-3093</x:v>
      </x:c>
      <x:c r="B97" t="str">
        <x:v>D-2129</x:v>
      </x:c>
      <x:c r="C97" t="str">
        <x:v>DataPulse 63</x:v>
      </x:c>
      <x:c r="D97" t="str">
        <x:v>Data request</x:v>
      </x:c>
      <x:c r="E97" t="str">
        <x:v>Low</x:v>
      </x:c>
      <x:c r="F97" t="str">
        <x:v>In progress</x:v>
      </x:c>
      <x:c r="G97" s="38" t="n">
        <x:v>46167</x:v>
      </x:c>
      <x:c r="H97" t="str">
        <x:v>Sofia</x:v>
      </x:c>
    </x:row>
    <x:row r="98">
      <x:c r="A98" t="str">
        <x:v>T-3094</x:v>
      </x:c>
      <x:c r="B98" t="str">
        <x:v>D-2158</x:v>
      </x:c>
      <x:c r="C98" t="str">
        <x:v>CryptoDesk 49</x:v>
      </x:c>
      <x:c r="D98" t="str">
        <x:v>Send proposal</x:v>
      </x:c>
      <x:c r="E98" t="str">
        <x:v>Low</x:v>
      </x:c>
      <x:c r="F98" t="str">
        <x:v>In progress</x:v>
      </x:c>
      <x:c r="G98" s="38" t="n">
        <x:v>46163</x:v>
      </x:c>
      <x:c r="H98" t="str">
        <x:v>Olga</x:v>
      </x:c>
    </x:row>
    <x:row r="99">
      <x:c r="A99" t="str">
        <x:v>T-3095</x:v>
      </x:c>
      <x:c r="B99" t="str">
        <x:v>D-2054</x:v>
      </x:c>
      <x:c r="C99" t="str">
        <x:v>EduPro 50</x:v>
      </x:c>
      <x:c r="D99" t="str">
        <x:v>Prepare dashboard</x:v>
      </x:c>
      <x:c r="E99" t="str">
        <x:v>High</x:v>
      </x:c>
      <x:c r="F99" t="str">
        <x:v>Done</x:v>
      </x:c>
      <x:c r="G99" s="38" t="n">
        <x:v>46160</x:v>
      </x:c>
      <x:c r="H99" t="str">
        <x:v>Sofia</x:v>
      </x:c>
    </x:row>
    <x:row r="100">
      <x:c r="A100" t="str">
        <x:v>T-3096</x:v>
      </x:c>
      <x:c r="B100" t="str">
        <x:v>D-2085</x:v>
      </x:c>
      <x:c r="C100" t="str">
        <x:v>DataPulse 31</x:v>
      </x:c>
      <x:c r="D100" t="str">
        <x:v>Prepare dashboard</x:v>
      </x:c>
      <x:c r="E100" t="str">
        <x:v>Medium</x:v>
      </x:c>
      <x:c r="F100" t="str">
        <x:v>Done</x:v>
      </x:c>
      <x:c r="G100" s="38" t="n">
        <x:v>46056</x:v>
      </x:c>
      <x:c r="H100" t="str">
        <x:v>Elena</x:v>
      </x:c>
    </x:row>
    <x:row r="101">
      <x:c r="A101" t="str">
        <x:v>T-3097</x:v>
      </x:c>
      <x:c r="B101" t="str">
        <x:v>D-2021</x:v>
      </x:c>
      <x:c r="C101" t="str">
        <x:v>EduPro 80</x:v>
      </x:c>
      <x:c r="D101" t="str">
        <x:v>Invoice</x:v>
      </x:c>
      <x:c r="E101" t="str">
        <x:v>Medium</x:v>
      </x:c>
      <x:c r="F101" t="str">
        <x:v>Open</x:v>
      </x:c>
      <x:c r="G101" s="38" t="n">
        <x:v>46073</x:v>
      </x:c>
      <x:c r="H101" t="str">
        <x:v>Anna</x:v>
      </x:c>
    </x:row>
    <x:row r="102">
      <x:c r="A102" t="str">
        <x:v>T-3098</x:v>
      </x:c>
      <x:c r="B102" t="str">
        <x:v>D-2032</x:v>
      </x:c>
      <x:c r="C102" t="str">
        <x:v>BeautyLab 10</x:v>
      </x:c>
      <x:c r="D102" t="str">
        <x:v>Prepare dashboard</x:v>
      </x:c>
      <x:c r="E102" t="str">
        <x:v>Low</x:v>
      </x:c>
      <x:c r="F102" t="str">
        <x:v>In progress</x:v>
      </x:c>
      <x:c r="G102" s="38" t="n">
        <x:v>46167</x:v>
      </x:c>
      <x:c r="H102" t="str">
        <x:v>Anna</x:v>
      </x:c>
    </x:row>
    <x:row r="103">
      <x:c r="A103" t="str">
        <x:v>T-3099</x:v>
      </x:c>
      <x:c r="B103" t="str">
        <x:v>D-2022</x:v>
      </x:c>
      <x:c r="C103" t="str">
        <x:v>RealEstate Pro 29</x:v>
      </x:c>
      <x:c r="D103" t="str">
        <x:v>Follow up</x:v>
      </x:c>
      <x:c r="E103" t="str">
        <x:v>Medium</x:v>
      </x:c>
      <x:c r="F103" t="str">
        <x:v>Done</x:v>
      </x:c>
      <x:c r="G103" s="38" t="n">
        <x:v>46068</x:v>
      </x:c>
      <x:c r="H103" t="str">
        <x:v>Olga</x:v>
      </x:c>
    </x:row>
    <x:row r="104">
      <x:c r="A104" t="str">
        <x:v>T-3100</x:v>
      </x:c>
      <x:c r="B104" t="str">
        <x:v>D-2067</x:v>
      </x:c>
      <x:c r="C104" t="str">
        <x:v>BeautyLab 68</x:v>
      </x:c>
      <x:c r="D104" t="str">
        <x:v>Invoice</x:v>
      </x:c>
      <x:c r="E104" t="str">
        <x:v>Low</x:v>
      </x:c>
      <x:c r="F104" t="str">
        <x:v>Done</x:v>
      </x:c>
      <x:c r="G104" s="38" t="n">
        <x:v>46108</x:v>
      </x:c>
      <x:c r="H104" t="str">
        <x:v>Anna</x:v>
      </x:c>
    </x:row>
    <x:row r="105">
      <x:c r="A105" t="str">
        <x:v>T-3101</x:v>
      </x:c>
      <x:c r="B105" t="str">
        <x:v>D-2025</x:v>
      </x:c>
      <x:c r="C105" t="str">
        <x:v>FinCraft 23</x:v>
      </x:c>
      <x:c r="D105" t="str">
        <x:v>Follow up</x:v>
      </x:c>
      <x:c r="E105" t="str">
        <x:v>Medium</x:v>
      </x:c>
      <x:c r="F105" t="str">
        <x:v>Open</x:v>
      </x:c>
      <x:c r="G105" s="38" t="n">
        <x:v>46101</x:v>
      </x:c>
      <x:c r="H105" t="str">
        <x:v>Sofia</x:v>
      </x:c>
    </x:row>
    <x:row r="106">
      <x:c r="A106" t="str">
        <x:v>T-3102</x:v>
      </x:c>
      <x:c r="B106" t="str">
        <x:v>D-2071</x:v>
      </x:c>
      <x:c r="C106" t="str">
        <x:v>RealEstate Pro 57</x:v>
      </x:c>
      <x:c r="D106" t="str">
        <x:v>Prepare dashboard</x:v>
      </x:c>
      <x:c r="E106" t="str">
        <x:v>Low</x:v>
      </x:c>
      <x:c r="F106" t="str">
        <x:v>In progress</x:v>
      </x:c>
      <x:c r="G106" s="38" t="n">
        <x:v>46069</x:v>
      </x:c>
      <x:c r="H106" t="str">
        <x:v>Sofia</x:v>
      </x:c>
    </x:row>
    <x:row r="107">
      <x:c r="A107" t="str">
        <x:v>T-3103</x:v>
      </x:c>
      <x:c r="B107" t="str">
        <x:v>D-2141</x:v>
      </x:c>
      <x:c r="C107" t="str">
        <x:v>BeautyLab 10</x:v>
      </x:c>
      <x:c r="D107" t="str">
        <x:v>Data request</x:v>
      </x:c>
      <x:c r="E107" t="str">
        <x:v>Low</x:v>
      </x:c>
      <x:c r="F107" t="str">
        <x:v>Done</x:v>
      </x:c>
      <x:c r="G107" s="38" t="n">
        <x:v>46084</x:v>
      </x:c>
      <x:c r="H107" t="str">
        <x:v>Olga</x:v>
      </x:c>
    </x:row>
    <x:row r="108">
      <x:c r="A108" t="str">
        <x:v>T-3104</x:v>
      </x:c>
      <x:c r="B108" t="str">
        <x:v>D-2148</x:v>
      </x:c>
      <x:c r="C108" t="str">
        <x:v>BrightLabs 21</x:v>
      </x:c>
      <x:c r="D108" t="str">
        <x:v>Send proposal</x:v>
      </x:c>
      <x:c r="E108" t="str">
        <x:v>High</x:v>
      </x:c>
      <x:c r="F108" t="str">
        <x:v>In progress</x:v>
      </x:c>
      <x:c r="G108" s="38" t="n">
        <x:v>46129</x:v>
      </x:c>
      <x:c r="H108" t="str">
        <x:v>Daria</x:v>
      </x:c>
    </x:row>
    <x:row r="109">
      <x:c r="A109" t="str">
        <x:v>T-3105</x:v>
      </x:c>
      <x:c r="B109" t="str">
        <x:v>D-2023</x:v>
      </x:c>
      <x:c r="C109" t="str">
        <x:v>EduPro 74</x:v>
      </x:c>
      <x:c r="D109" t="str">
        <x:v>Follow up</x:v>
      </x:c>
      <x:c r="E109" t="str">
        <x:v>Low</x:v>
      </x:c>
      <x:c r="F109" t="str">
        <x:v>In progress</x:v>
      </x:c>
      <x:c r="G109" s="38" t="n">
        <x:v>46147</x:v>
      </x:c>
      <x:c r="H109" t="str">
        <x:v>Sofia</x:v>
      </x:c>
    </x:row>
    <x:row r="110">
      <x:c r="A110" t="str">
        <x:v>T-3106</x:v>
      </x:c>
      <x:c r="B110" t="str">
        <x:v>D-2060</x:v>
      </x:c>
      <x:c r="C110" t="str">
        <x:v>Nord Studio 2</x:v>
      </x:c>
      <x:c r="D110" t="str">
        <x:v>Client call</x:v>
      </x:c>
      <x:c r="E110" t="str">
        <x:v>Low</x:v>
      </x:c>
      <x:c r="F110" t="str">
        <x:v>Open</x:v>
      </x:c>
      <x:c r="G110" s="38" t="n">
        <x:v>46112</x:v>
      </x:c>
      <x:c r="H110" t="str">
        <x:v>Anna</x:v>
      </x:c>
    </x:row>
    <x:row r="111">
      <x:c r="A111" t="str">
        <x:v>T-3107</x:v>
      </x:c>
      <x:c r="B111" t="str">
        <x:v>D-2068</x:v>
      </x:c>
      <x:c r="C111" t="str">
        <x:v>CloudNine 11</x:v>
      </x:c>
      <x:c r="D111" t="str">
        <x:v>Send proposal</x:v>
      </x:c>
      <x:c r="E111" t="str">
        <x:v>High</x:v>
      </x:c>
      <x:c r="F111" t="str">
        <x:v>In progress</x:v>
      </x:c>
      <x:c r="G111" s="38" t="n">
        <x:v>46168</x:v>
      </x:c>
      <x:c r="H111" t="str">
        <x:v>Sofia</x:v>
      </x:c>
    </x:row>
    <x:row r="112">
      <x:c r="A112" t="str">
        <x:v>T-3108</x:v>
      </x:c>
      <x:c r="B112" t="str">
        <x:v>D-2136</x:v>
      </x:c>
      <x:c r="C112" t="str">
        <x:v>Baltic Retail 76</x:v>
      </x:c>
      <x:c r="D112" t="str">
        <x:v>Data request</x:v>
      </x:c>
      <x:c r="E112" t="str">
        <x:v>Low</x:v>
      </x:c>
      <x:c r="F112" t="str">
        <x:v>Done</x:v>
      </x:c>
      <x:c r="G112" s="38" t="n">
        <x:v>46155</x:v>
      </x:c>
      <x:c r="H112" t="str">
        <x:v>Elena</x:v>
      </x:c>
    </x:row>
    <x:row r="113">
      <x:c r="A113" t="str">
        <x:v>T-3109</x:v>
      </x:c>
      <x:c r="B113" t="str">
        <x:v>D-2105</x:v>
      </x:c>
      <x:c r="C113" t="str">
        <x:v>CloudNine 11</x:v>
      </x:c>
      <x:c r="D113" t="str">
        <x:v>Prepare dashboard</x:v>
      </x:c>
      <x:c r="E113" t="str">
        <x:v>Critical</x:v>
      </x:c>
      <x:c r="F113" t="str">
        <x:v>Open</x:v>
      </x:c>
      <x:c r="G113" s="38" t="n">
        <x:v>46057</x:v>
      </x:c>
      <x:c r="H113" t="str">
        <x:v>Sofia</x:v>
      </x:c>
    </x:row>
    <x:row r="114">
      <x:c r="A114" t="str">
        <x:v>T-3110</x:v>
      </x:c>
      <x:c r="B114" t="str">
        <x:v>D-2018</x:v>
      </x:c>
      <x:c r="C114" t="str">
        <x:v>CryptoDesk 56</x:v>
      </x:c>
      <x:c r="D114" t="str">
        <x:v>Data request</x:v>
      </x:c>
      <x:c r="E114" t="str">
        <x:v>Medium</x:v>
      </x:c>
      <x:c r="F114" t="str">
        <x:v>Blocked</x:v>
      </x:c>
      <x:c r="G114" s="38" t="n">
        <x:v>46150</x:v>
      </x:c>
      <x:c r="H114" t="str">
        <x:v>Olga</x:v>
      </x:c>
    </x:row>
    <x:row r="115">
      <x:c r="A115" t="str">
        <x:v>T-3111</x:v>
      </x:c>
      <x:c r="B115" t="str">
        <x:v>D-2031</x:v>
      </x:c>
      <x:c r="C115" t="str">
        <x:v>RealEstate Pro 62</x:v>
      </x:c>
      <x:c r="D115" t="str">
        <x:v>Follow up</x:v>
      </x:c>
      <x:c r="E115" t="str">
        <x:v>Medium</x:v>
      </x:c>
      <x:c r="F115" t="str">
        <x:v>Blocked</x:v>
      </x:c>
      <x:c r="G115" s="38" t="n">
        <x:v>46093</x:v>
      </x:c>
      <x:c r="H115" t="str">
        <x:v>Daria</x:v>
      </x:c>
    </x:row>
    <x:row r="116">
      <x:c r="A116" t="str">
        <x:v>T-3112</x:v>
      </x:c>
      <x:c r="B116" t="str">
        <x:v>D-2129</x:v>
      </x:c>
      <x:c r="C116" t="str">
        <x:v>DataPulse 63</x:v>
      </x:c>
      <x:c r="D116" t="str">
        <x:v>Prepare dashboard</x:v>
      </x:c>
      <x:c r="E116" t="str">
        <x:v>High</x:v>
      </x:c>
      <x:c r="F116" t="str">
        <x:v>Done</x:v>
      </x:c>
      <x:c r="G116" s="38" t="n">
        <x:v>46154</x:v>
      </x:c>
      <x:c r="H116" t="str">
        <x:v>Olga</x:v>
      </x:c>
    </x:row>
    <x:row r="117">
      <x:c r="A117" t="str">
        <x:v>T-3113</x:v>
      </x:c>
      <x:c r="B117" t="str">
        <x:v>D-2137</x:v>
      </x:c>
      <x:c r="C117" t="str">
        <x:v>FoodBox 46</x:v>
      </x:c>
      <x:c r="D117" t="str">
        <x:v>Send proposal</x:v>
      </x:c>
      <x:c r="E117" t="str">
        <x:v>Critical</x:v>
      </x:c>
      <x:c r="F117" t="str">
        <x:v>Open</x:v>
      </x:c>
      <x:c r="G117" s="38" t="n">
        <x:v>46126</x:v>
      </x:c>
      <x:c r="H117" t="str">
        <x:v>Olga</x:v>
      </x:c>
    </x:row>
    <x:row r="118">
      <x:c r="A118" t="str">
        <x:v>T-3114</x:v>
      </x:c>
      <x:c r="B118" t="str">
        <x:v>D-2110</x:v>
      </x:c>
      <x:c r="C118" t="str">
        <x:v>HealthPlus 42</x:v>
      </x:c>
      <x:c r="D118" t="str">
        <x:v>Client call</x:v>
      </x:c>
      <x:c r="E118" t="str">
        <x:v>Critical</x:v>
      </x:c>
      <x:c r="F118" t="str">
        <x:v>Open</x:v>
      </x:c>
      <x:c r="G118" s="38" t="n">
        <x:v>46121</x:v>
      </x:c>
      <x:c r="H118" t="str">
        <x:v>Anna</x:v>
      </x:c>
    </x:row>
    <x:row r="119">
      <x:c r="A119" t="str">
        <x:v>T-3115</x:v>
      </x:c>
      <x:c r="B119" t="str">
        <x:v>D-2076</x:v>
      </x:c>
      <x:c r="C119" t="str">
        <x:v>FinCraft 23</x:v>
      </x:c>
      <x:c r="D119" t="str">
        <x:v>Prepare dashboard</x:v>
      </x:c>
      <x:c r="E119" t="str">
        <x:v>Medium</x:v>
      </x:c>
      <x:c r="F119" t="str">
        <x:v>Open</x:v>
      </x:c>
      <x:c r="G119" s="38" t="n">
        <x:v>46123</x:v>
      </x:c>
      <x:c r="H119" t="str">
        <x:v>Olga</x:v>
      </x:c>
    </x:row>
    <x:row r="120">
      <x:c r="A120" t="str">
        <x:v>T-3116</x:v>
      </x:c>
      <x:c r="B120" t="str">
        <x:v>D-2036</x:v>
      </x:c>
      <x:c r="C120" t="str">
        <x:v>FoodBox 26</x:v>
      </x:c>
      <x:c r="D120" t="str">
        <x:v>Send proposal</x:v>
      </x:c>
      <x:c r="E120" t="str">
        <x:v>Low</x:v>
      </x:c>
      <x:c r="F120" t="str">
        <x:v>Done</x:v>
      </x:c>
      <x:c r="G120" s="38" t="n">
        <x:v>46115</x:v>
      </x:c>
      <x:c r="H120" t="str">
        <x:v>Olga</x:v>
      </x:c>
    </x:row>
    <x:row r="121">
      <x:c r="A121" t="str">
        <x:v>T-3117</x:v>
      </x:c>
      <x:c r="B121" t="str">
        <x:v>D-2068</x:v>
      </x:c>
      <x:c r="C121" t="str">
        <x:v>CloudNine 11</x:v>
      </x:c>
      <x:c r="D121" t="str">
        <x:v>Invoice</x:v>
      </x:c>
      <x:c r="E121" t="str">
        <x:v>Critical</x:v>
      </x:c>
      <x:c r="F121" t="str">
        <x:v>Done</x:v>
      </x:c>
      <x:c r="G121" s="38" t="n">
        <x:v>46059</x:v>
      </x:c>
      <x:c r="H121" t="str">
        <x:v>Sofia</x:v>
      </x:c>
    </x:row>
    <x:row r="122">
      <x:c r="A122" t="str">
        <x:v>T-3118</x:v>
      </x:c>
      <x:c r="B122" t="str">
        <x:v>D-2066</x:v>
      </x:c>
      <x:c r="C122" t="str">
        <x:v>FoodBox 12</x:v>
      </x:c>
      <x:c r="D122" t="str">
        <x:v>Send proposal</x:v>
      </x:c>
      <x:c r="E122" t="str">
        <x:v>Critical</x:v>
      </x:c>
      <x:c r="F122" t="str">
        <x:v>Blocked</x:v>
      </x:c>
      <x:c r="G122" s="38" t="n">
        <x:v>46117</x:v>
      </x:c>
      <x:c r="H122" t="str">
        <x:v>Olga</x:v>
      </x:c>
    </x:row>
    <x:row r="123">
      <x:c r="A123" t="str">
        <x:v>T-3119</x:v>
      </x:c>
      <x:c r="B123" t="str">
        <x:v>D-2090</x:v>
      </x:c>
      <x:c r="C123" t="str">
        <x:v>EduPro 75</x:v>
      </x:c>
      <x:c r="D123" t="str">
        <x:v>Send proposal</x:v>
      </x:c>
      <x:c r="E123" t="str">
        <x:v>Medium</x:v>
      </x:c>
      <x:c r="F123" t="str">
        <x:v>Open</x:v>
      </x:c>
      <x:c r="G123" s="38" t="n">
        <x:v>46061</x:v>
      </x:c>
      <x:c r="H123" t="str">
        <x:v>Sofia</x:v>
      </x:c>
    </x:row>
    <x:row r="124">
      <x:c r="A124" t="str">
        <x:v>T-3120</x:v>
      </x:c>
      <x:c r="B124" t="str">
        <x:v>D-2030</x:v>
      </x:c>
      <x:c r="C124" t="str">
        <x:v>DataPulse 63</x:v>
      </x:c>
      <x:c r="D124" t="str">
        <x:v>Follow up</x:v>
      </x:c>
      <x:c r="E124" t="str">
        <x:v>Medium</x:v>
      </x:c>
      <x:c r="F124" t="str">
        <x:v>Blocked</x:v>
      </x:c>
      <x:c r="G124" s="38" t="n">
        <x:v>46102</x:v>
      </x:c>
      <x:c r="H124" t="str">
        <x:v>Daria</x:v>
      </x:c>
    </x:row>
    <x:row r="125">
      <x:c r="A125" t="str">
        <x:v>T-3121</x:v>
      </x:c>
      <x:c r="B125" t="str">
        <x:v>D-2048</x:v>
      </x:c>
      <x:c r="C125" t="str">
        <x:v>FinCraft 7</x:v>
      </x:c>
      <x:c r="D125" t="str">
        <x:v>Send proposal</x:v>
      </x:c>
      <x:c r="E125" t="str">
        <x:v>Critical</x:v>
      </x:c>
      <x:c r="F125" t="str">
        <x:v>Open</x:v>
      </x:c>
      <x:c r="G125" s="38" t="n">
        <x:v>46092</x:v>
      </x:c>
      <x:c r="H125" t="str">
        <x:v>Anna</x:v>
      </x:c>
    </x:row>
    <x:row r="126">
      <x:c r="A126" t="str">
        <x:v>T-3122</x:v>
      </x:c>
      <x:c r="B126" t="str">
        <x:v>D-2129</x:v>
      </x:c>
      <x:c r="C126" t="str">
        <x:v>DataPulse 63</x:v>
      </x:c>
      <x:c r="D126" t="str">
        <x:v>Prepare dashboard</x:v>
      </x:c>
      <x:c r="E126" t="str">
        <x:v>High</x:v>
      </x:c>
      <x:c r="F126" t="str">
        <x:v>In progress</x:v>
      </x:c>
      <x:c r="G126" s="38" t="n">
        <x:v>46161</x:v>
      </x:c>
      <x:c r="H126" t="str">
        <x:v>Olga</x:v>
      </x:c>
    </x:row>
    <x:row r="127">
      <x:c r="A127" t="str">
        <x:v>T-3123</x:v>
      </x:c>
      <x:c r="B127" t="str">
        <x:v>D-2158</x:v>
      </x:c>
      <x:c r="C127" t="str">
        <x:v>CryptoDesk 49</x:v>
      </x:c>
      <x:c r="D127" t="str">
        <x:v>Data request</x:v>
      </x:c>
      <x:c r="E127" t="str">
        <x:v>High</x:v>
      </x:c>
      <x:c r="F127" t="str">
        <x:v>Open</x:v>
      </x:c>
      <x:c r="G127" s="38" t="n">
        <x:v>46068</x:v>
      </x:c>
      <x:c r="H127" t="str">
        <x:v>Olga</x:v>
      </x:c>
    </x:row>
    <x:row r="128">
      <x:c r="A128" t="str">
        <x:v>T-3124</x:v>
      </x:c>
      <x:c r="B128" t="str">
        <x:v>D-2122</x:v>
      </x:c>
      <x:c r="C128" t="str">
        <x:v>Nord Studio 2</x:v>
      </x:c>
      <x:c r="D128" t="str">
        <x:v>Send proposal</x:v>
      </x:c>
      <x:c r="E128" t="str">
        <x:v>High</x:v>
      </x:c>
      <x:c r="F128" t="str">
        <x:v>In progress</x:v>
      </x:c>
      <x:c r="G128" s="38" t="n">
        <x:v>46126</x:v>
      </x:c>
      <x:c r="H128" t="str">
        <x:v>Olga</x:v>
      </x:c>
    </x:row>
    <x:row r="129">
      <x:c r="A129" t="str">
        <x:v>T-3125</x:v>
      </x:c>
      <x:c r="B129" t="str">
        <x:v>D-2092</x:v>
      </x:c>
      <x:c r="C129" t="str">
        <x:v>FitLife 27</x:v>
      </x:c>
      <x:c r="D129" t="str">
        <x:v>Follow up</x:v>
      </x:c>
      <x:c r="E129" t="str">
        <x:v>Low</x:v>
      </x:c>
      <x:c r="F129" t="str">
        <x:v>Open</x:v>
      </x:c>
      <x:c r="G129" s="38" t="n">
        <x:v>46070</x:v>
      </x:c>
      <x:c r="H129" t="str">
        <x:v>Maria</x:v>
      </x:c>
    </x:row>
    <x:row r="130">
      <x:c r="A130" t="str">
        <x:v>T-3126</x:v>
      </x:c>
      <x:c r="B130" t="str">
        <x:v>D-2003</x:v>
      </x:c>
      <x:c r="C130" t="str">
        <x:v>FinCraft 23</x:v>
      </x:c>
      <x:c r="D130" t="str">
        <x:v>Send proposal</x:v>
      </x:c>
      <x:c r="E130" t="str">
        <x:v>High</x:v>
      </x:c>
      <x:c r="F130" t="str">
        <x:v>Open</x:v>
      </x:c>
      <x:c r="G130" s="38" t="n">
        <x:v>46067</x:v>
      </x:c>
      <x:c r="H130" t="str">
        <x:v>Sofia</x:v>
      </x:c>
    </x:row>
    <x:row r="131">
      <x:c r="A131" t="str">
        <x:v>T-3127</x:v>
      </x:c>
      <x:c r="B131" t="str">
        <x:v>D-2112</x:v>
      </x:c>
      <x:c r="C131" t="str">
        <x:v>Baltic Retail 53</x:v>
      </x:c>
      <x:c r="D131" t="str">
        <x:v>Follow up</x:v>
      </x:c>
      <x:c r="E131" t="str">
        <x:v>Low</x:v>
      </x:c>
      <x:c r="F131" t="str">
        <x:v>Open</x:v>
      </x:c>
      <x:c r="G131" s="38" t="n">
        <x:v>46085</x:v>
      </x:c>
      <x:c r="H131" t="str">
        <x:v>Maria</x:v>
      </x:c>
    </x:row>
    <x:row r="132">
      <x:c r="A132" t="str">
        <x:v>T-3128</x:v>
      </x:c>
      <x:c r="B132" t="str">
        <x:v>D-2002</x:v>
      </x:c>
      <x:c r="C132" t="str">
        <x:v>EduPro 75</x:v>
      </x:c>
      <x:c r="D132" t="str">
        <x:v>Prepare dashboard</x:v>
      </x:c>
      <x:c r="E132" t="str">
        <x:v>Medium</x:v>
      </x:c>
      <x:c r="F132" t="str">
        <x:v>Done</x:v>
      </x:c>
      <x:c r="G132" s="38" t="n">
        <x:v>46056</x:v>
      </x:c>
      <x:c r="H132" t="str">
        <x:v>Daria</x:v>
      </x:c>
    </x:row>
    <x:row r="133">
      <x:c r="A133" t="str">
        <x:v>T-3129</x:v>
      </x:c>
      <x:c r="B133" t="str">
        <x:v>D-2009</x:v>
      </x:c>
      <x:c r="C133" t="str">
        <x:v>GreenHome 65</x:v>
      </x:c>
      <x:c r="D133" t="str">
        <x:v>Send proposal</x:v>
      </x:c>
      <x:c r="E133" t="str">
        <x:v>Critical</x:v>
      </x:c>
      <x:c r="F133" t="str">
        <x:v>Done</x:v>
      </x:c>
      <x:c r="G133" s="38" t="n">
        <x:v>46132</x:v>
      </x:c>
      <x:c r="H133" t="str">
        <x:v>Sofia</x:v>
      </x:c>
    </x:row>
    <x:row r="134">
      <x:c r="A134" t="str">
        <x:v>T-3130</x:v>
      </x:c>
      <x:c r="B134" t="str">
        <x:v>D-2137</x:v>
      </x:c>
      <x:c r="C134" t="str">
        <x:v>FoodBox 46</x:v>
      </x:c>
      <x:c r="D134" t="str">
        <x:v>Send proposal</x:v>
      </x:c>
      <x:c r="E134" t="str">
        <x:v>Medium</x:v>
      </x:c>
      <x:c r="F134" t="str">
        <x:v>In progress</x:v>
      </x:c>
      <x:c r="G134" s="38" t="n">
        <x:v>46067</x:v>
      </x:c>
      <x:c r="H134" t="str">
        <x:v>Maria</x:v>
      </x:c>
    </x:row>
    <x:row r="135">
      <x:c r="A135" t="str">
        <x:v>T-3131</x:v>
      </x:c>
      <x:c r="B135" t="str">
        <x:v>D-2100</x:v>
      </x:c>
      <x:c r="C135" t="str">
        <x:v>EduPro 75</x:v>
      </x:c>
      <x:c r="D135" t="str">
        <x:v>Prepare dashboard</x:v>
      </x:c>
      <x:c r="E135" t="str">
        <x:v>Critical</x:v>
      </x:c>
      <x:c r="F135" t="str">
        <x:v>Done</x:v>
      </x:c>
      <x:c r="G135" s="38" t="n">
        <x:v>46084</x:v>
      </x:c>
      <x:c r="H135" t="str">
        <x:v>Maria</x:v>
      </x:c>
    </x:row>
    <x:row r="136">
      <x:c r="A136" t="str">
        <x:v>T-3132</x:v>
      </x:c>
      <x:c r="B136" t="str">
        <x:v>D-2049</x:v>
      </x:c>
      <x:c r="C136" t="str">
        <x:v>FinCraft 77</x:v>
      </x:c>
      <x:c r="D136" t="str">
        <x:v>Client call</x:v>
      </x:c>
      <x:c r="E136" t="str">
        <x:v>Medium</x:v>
      </x:c>
      <x:c r="F136" t="str">
        <x:v>In progress</x:v>
      </x:c>
      <x:c r="G136" s="38" t="n">
        <x:v>46089</x:v>
      </x:c>
      <x:c r="H136" t="str">
        <x:v>Daria</x:v>
      </x:c>
    </x:row>
    <x:row r="137">
      <x:c r="A137" t="str">
        <x:v>T-3133</x:v>
      </x:c>
      <x:c r="B137" t="str">
        <x:v>D-2083</x:v>
      </x:c>
      <x:c r="C137" t="str">
        <x:v>Travelio 3</x:v>
      </x:c>
      <x:c r="D137" t="str">
        <x:v>Client call</x:v>
      </x:c>
      <x:c r="E137" t="str">
        <x:v>High</x:v>
      </x:c>
      <x:c r="F137" t="str">
        <x:v>In progress</x:v>
      </x:c>
      <x:c r="G137" s="38" t="n">
        <x:v>46068</x:v>
      </x:c>
      <x:c r="H137" t="str">
        <x:v>Olga</x:v>
      </x:c>
    </x:row>
    <x:row r="138">
      <x:c r="A138" t="str">
        <x:v>T-3134</x:v>
      </x:c>
      <x:c r="B138" t="str">
        <x:v>D-2007</x:v>
      </x:c>
      <x:c r="C138" t="str">
        <x:v>HealthPlus 28</x:v>
      </x:c>
      <x:c r="D138" t="str">
        <x:v>Invoice</x:v>
      </x:c>
      <x:c r="E138" t="str">
        <x:v>High</x:v>
      </x:c>
      <x:c r="F138" t="str">
        <x:v>Done</x:v>
      </x:c>
      <x:c r="G138" s="38" t="n">
        <x:v>46119</x:v>
      </x:c>
      <x:c r="H138" t="str">
        <x:v>Elena</x:v>
      </x:c>
    </x:row>
    <x:row r="139">
      <x:c r="A139" t="str">
        <x:v>T-3135</x:v>
      </x:c>
      <x:c r="B139" t="str">
        <x:v>D-2134</x:v>
      </x:c>
      <x:c r="C139" t="str">
        <x:v>FinCraft 8</x:v>
      </x:c>
      <x:c r="D139" t="str">
        <x:v>Invoice</x:v>
      </x:c>
      <x:c r="E139" t="str">
        <x:v>Low</x:v>
      </x:c>
      <x:c r="F139" t="str">
        <x:v>Blocked</x:v>
      </x:c>
      <x:c r="G139" s="38" t="n">
        <x:v>46142</x:v>
      </x:c>
      <x:c r="H139" t="str">
        <x:v>Anna</x:v>
      </x:c>
    </x:row>
    <x:row r="140">
      <x:c r="A140" t="str">
        <x:v>T-3136</x:v>
      </x:c>
      <x:c r="B140" t="str">
        <x:v>D-2067</x:v>
      </x:c>
      <x:c r="C140" t="str">
        <x:v>BeautyLab 68</x:v>
      </x:c>
      <x:c r="D140" t="str">
        <x:v>Data request</x:v>
      </x:c>
      <x:c r="E140" t="str">
        <x:v>Critical</x:v>
      </x:c>
      <x:c r="F140" t="str">
        <x:v>Blocked</x:v>
      </x:c>
      <x:c r="G140" s="38" t="n">
        <x:v>46097</x:v>
      </x:c>
      <x:c r="H140" t="str">
        <x:v>Daria</x:v>
      </x:c>
    </x:row>
    <x:row r="141">
      <x:c r="A141" t="str">
        <x:v>T-3137</x:v>
      </x:c>
      <x:c r="B141" t="str">
        <x:v>D-2031</x:v>
      </x:c>
      <x:c r="C141" t="str">
        <x:v>RealEstate Pro 62</x:v>
      </x:c>
      <x:c r="D141" t="str">
        <x:v>Client call</x:v>
      </x:c>
      <x:c r="E141" t="str">
        <x:v>Critical</x:v>
      </x:c>
      <x:c r="F141" t="str">
        <x:v>In progress</x:v>
      </x:c>
      <x:c r="G141" s="38" t="n">
        <x:v>46110</x:v>
      </x:c>
      <x:c r="H141" t="str">
        <x:v>Anna</x:v>
      </x:c>
    </x:row>
    <x:row r="142">
      <x:c r="A142" t="str">
        <x:v>T-3138</x:v>
      </x:c>
      <x:c r="B142" t="str">
        <x:v>D-2138</x:v>
      </x:c>
      <x:c r="C142" t="str">
        <x:v>GreenHome 58</x:v>
      </x:c>
      <x:c r="D142" t="str">
        <x:v>Invoice</x:v>
      </x:c>
      <x:c r="E142" t="str">
        <x:v>High</x:v>
      </x:c>
      <x:c r="F142" t="str">
        <x:v>Open</x:v>
      </x:c>
      <x:c r="G142" s="38" t="n">
        <x:v>46112</x:v>
      </x:c>
      <x:c r="H142" t="str">
        <x:v>Olga</x:v>
      </x:c>
    </x:row>
    <x:row r="143">
      <x:c r="A143" t="str">
        <x:v>T-3139</x:v>
      </x:c>
      <x:c r="B143" t="str">
        <x:v>D-2097</x:v>
      </x:c>
      <x:c r="C143" t="str">
        <x:v>Baltic Retail 33</x:v>
      </x:c>
      <x:c r="D143" t="str">
        <x:v>Invoice</x:v>
      </x:c>
      <x:c r="E143" t="str">
        <x:v>Low</x:v>
      </x:c>
      <x:c r="F143" t="str">
        <x:v>Done</x:v>
      </x:c>
      <x:c r="G143" s="38" t="n">
        <x:v>46061</x:v>
      </x:c>
      <x:c r="H143" t="str">
        <x:v>Daria</x:v>
      </x:c>
    </x:row>
    <x:row r="144">
      <x:c r="A144" t="str">
        <x:v>T-3140</x:v>
      </x:c>
      <x:c r="B144" t="str">
        <x:v>D-2036</x:v>
      </x:c>
      <x:c r="C144" t="str">
        <x:v>FoodBox 26</x:v>
      </x:c>
      <x:c r="D144" t="str">
        <x:v>Data request</x:v>
      </x:c>
      <x:c r="E144" t="str">
        <x:v>Low</x:v>
      </x:c>
      <x:c r="F144" t="str">
        <x:v>Done</x:v>
      </x:c>
      <x:c r="G144" s="38" t="n">
        <x:v>46121</x:v>
      </x:c>
      <x:c r="H144" t="str">
        <x:v>Elena</x:v>
      </x:c>
    </x:row>
    <x:row r="145">
      <x:c r="A145" t="str">
        <x:v>T-3141</x:v>
      </x:c>
      <x:c r="B145" t="str">
        <x:v>D-2122</x:v>
      </x:c>
      <x:c r="C145" t="str">
        <x:v>Nord Studio 2</x:v>
      </x:c>
      <x:c r="D145" t="str">
        <x:v>Data request</x:v>
      </x:c>
      <x:c r="E145" t="str">
        <x:v>Medium</x:v>
      </x:c>
      <x:c r="F145" t="str">
        <x:v>Done</x:v>
      </x:c>
      <x:c r="G145" s="38" t="n">
        <x:v>46127</x:v>
      </x:c>
      <x:c r="H145" t="str">
        <x:v>Anna</x:v>
      </x:c>
    </x:row>
    <x:row r="146">
      <x:c r="A146" t="str">
        <x:v>T-3142</x:v>
      </x:c>
      <x:c r="B146" t="str">
        <x:v>D-2139</x:v>
      </x:c>
      <x:c r="C146" t="str">
        <x:v>RealEstate Pro 6</x:v>
      </x:c>
      <x:c r="D146" t="str">
        <x:v>Invoice</x:v>
      </x:c>
      <x:c r="E146" t="str">
        <x:v>Low</x:v>
      </x:c>
      <x:c r="F146" t="str">
        <x:v>In progress</x:v>
      </x:c>
      <x:c r="G146" s="38" t="n">
        <x:v>46087</x:v>
      </x:c>
      <x:c r="H146" t="str">
        <x:v>Anna</x:v>
      </x:c>
    </x:row>
    <x:row r="147">
      <x:c r="A147" t="str">
        <x:v>T-3143</x:v>
      </x:c>
      <x:c r="B147" t="str">
        <x:v>D-2003</x:v>
      </x:c>
      <x:c r="C147" t="str">
        <x:v>FinCraft 23</x:v>
      </x:c>
      <x:c r="D147" t="str">
        <x:v>Client call</x:v>
      </x:c>
      <x:c r="E147" t="str">
        <x:v>Critical</x:v>
      </x:c>
      <x:c r="F147" t="str">
        <x:v>Open</x:v>
      </x:c>
      <x:c r="G147" s="38" t="n">
        <x:v>46075</x:v>
      </x:c>
      <x:c r="H147" t="str">
        <x:v>Sofia</x:v>
      </x:c>
    </x:row>
    <x:row r="148">
      <x:c r="A148" t="str">
        <x:v>T-3144</x:v>
      </x:c>
      <x:c r="B148" t="str">
        <x:v>D-2041</x:v>
      </x:c>
      <x:c r="C148" t="str">
        <x:v>BeautyLab 68</x:v>
      </x:c>
      <x:c r="D148" t="str">
        <x:v>Prepare dashboard</x:v>
      </x:c>
      <x:c r="E148" t="str">
        <x:v>Medium</x:v>
      </x:c>
      <x:c r="F148" t="str">
        <x:v>Done</x:v>
      </x:c>
      <x:c r="G148" s="38" t="n">
        <x:v>46083</x:v>
      </x:c>
      <x:c r="H148" t="str">
        <x:v>Olga</x:v>
      </x:c>
    </x:row>
    <x:row r="149">
      <x:c r="A149" t="str">
        <x:v>T-3145</x:v>
      </x:c>
      <x:c r="B149" t="str">
        <x:v>D-2156</x:v>
      </x:c>
      <x:c r="C149" t="str">
        <x:v>GreenHome 34</x:v>
      </x:c>
      <x:c r="D149" t="str">
        <x:v>Data request</x:v>
      </x:c>
      <x:c r="E149" t="str">
        <x:v>Critical</x:v>
      </x:c>
      <x:c r="F149" t="str">
        <x:v>In progress</x:v>
      </x:c>
      <x:c r="G149" s="38" t="n">
        <x:v>46108</x:v>
      </x:c>
      <x:c r="H149" t="str">
        <x:v>Elena</x:v>
      </x:c>
    </x:row>
    <x:row r="150">
      <x:c r="A150" t="str">
        <x:v>T-3146</x:v>
      </x:c>
      <x:c r="B150" t="str">
        <x:v>D-2040</x:v>
      </x:c>
      <x:c r="C150" t="str">
        <x:v>HealthPlus 28</x:v>
      </x:c>
      <x:c r="D150" t="str">
        <x:v>Client call</x:v>
      </x:c>
      <x:c r="E150" t="str">
        <x:v>Low</x:v>
      </x:c>
      <x:c r="F150" t="str">
        <x:v>Blocked</x:v>
      </x:c>
      <x:c r="G150" s="38" t="n">
        <x:v>46143</x:v>
      </x:c>
      <x:c r="H150" t="str">
        <x:v>Sofia</x:v>
      </x:c>
    </x:row>
    <x:row r="151">
      <x:c r="A151" t="str">
        <x:v>T-3147</x:v>
      </x:c>
      <x:c r="B151" t="str">
        <x:v>D-2061</x:v>
      </x:c>
      <x:c r="C151" t="str">
        <x:v>DataPulse 31</x:v>
      </x:c>
      <x:c r="D151" t="str">
        <x:v>Invoice</x:v>
      </x:c>
      <x:c r="E151" t="str">
        <x:v>Medium</x:v>
      </x:c>
      <x:c r="F151" t="str">
        <x:v>In progress</x:v>
      </x:c>
      <x:c r="G151" s="38" t="n">
        <x:v>46057</x:v>
      </x:c>
      <x:c r="H151" t="str">
        <x:v>Elena</x:v>
      </x:c>
    </x:row>
    <x:row r="152">
      <x:c r="A152" t="str">
        <x:v>T-3148</x:v>
      </x:c>
      <x:c r="B152" t="str">
        <x:v>D-2012</x:v>
      </x:c>
      <x:c r="C152" t="str">
        <x:v>BrightLabs 66</x:v>
      </x:c>
      <x:c r="D152" t="str">
        <x:v>Data request</x:v>
      </x:c>
      <x:c r="E152" t="str">
        <x:v>Critical</x:v>
      </x:c>
      <x:c r="F152" t="str">
        <x:v>Open</x:v>
      </x:c>
      <x:c r="G152" s="38" t="n">
        <x:v>46148</x:v>
      </x:c>
      <x:c r="H152" t="str">
        <x:v>Olga</x:v>
      </x:c>
    </x:row>
    <x:row r="153">
      <x:c r="A153" t="str">
        <x:v>T-3149</x:v>
      </x:c>
      <x:c r="B153" t="str">
        <x:v>D-2143</x:v>
      </x:c>
      <x:c r="C153" t="str">
        <x:v>CloudNine 43</x:v>
      </x:c>
      <x:c r="D153" t="str">
        <x:v>Invoice</x:v>
      </x:c>
      <x:c r="E153" t="str">
        <x:v>Medium</x:v>
      </x:c>
      <x:c r="F153" t="str">
        <x:v>In progress</x:v>
      </x:c>
      <x:c r="G153" s="38" t="n">
        <x:v>46095</x:v>
      </x:c>
      <x:c r="H153" t="str">
        <x:v>Maria</x:v>
      </x:c>
    </x:row>
    <x:row r="154">
      <x:c r="A154" t="str">
        <x:v>T-3150</x:v>
      </x:c>
      <x:c r="B154" t="str">
        <x:v>D-2019</x:v>
      </x:c>
      <x:c r="C154" t="str">
        <x:v>FoodBox 12</x:v>
      </x:c>
      <x:c r="D154" t="str">
        <x:v>Data request</x:v>
      </x:c>
      <x:c r="E154" t="str">
        <x:v>High</x:v>
      </x:c>
      <x:c r="F154" t="str">
        <x:v>Done</x:v>
      </x:c>
      <x:c r="G154" s="38" t="n">
        <x:v>46070</x:v>
      </x:c>
      <x:c r="H154" t="str">
        <x:v>Anna</x:v>
      </x:c>
    </x:row>
    <x:row r="155">
      <x:c r="A155" t="str">
        <x:v>T-3151</x:v>
      </x:c>
      <x:c r="B155" t="str">
        <x:v>D-2008</x:v>
      </x:c>
      <x:c r="C155" t="str">
        <x:v>FinCraft 23</x:v>
      </x:c>
      <x:c r="D155" t="str">
        <x:v>Send proposal</x:v>
      </x:c>
      <x:c r="E155" t="str">
        <x:v>Low</x:v>
      </x:c>
      <x:c r="F155" t="str">
        <x:v>Done</x:v>
      </x:c>
      <x:c r="G155" s="38" t="n">
        <x:v>46169</x:v>
      </x:c>
      <x:c r="H155" t="str">
        <x:v>Sofia</x:v>
      </x:c>
    </x:row>
    <x:row r="156">
      <x:c r="A156" t="str">
        <x:v>T-3152</x:v>
      </x:c>
      <x:c r="B156" t="str">
        <x:v>D-2094</x:v>
      </x:c>
      <x:c r="C156" t="str">
        <x:v>HealthPlus 39</x:v>
      </x:c>
      <x:c r="D156" t="str">
        <x:v>Send proposal</x:v>
      </x:c>
      <x:c r="E156" t="str">
        <x:v>Critical</x:v>
      </x:c>
      <x:c r="F156" t="str">
        <x:v>In progress</x:v>
      </x:c>
      <x:c r="G156" s="38" t="n">
        <x:v>46154</x:v>
      </x:c>
      <x:c r="H156" t="str">
        <x:v>Daria</x:v>
      </x:c>
    </x:row>
    <x:row r="157">
      <x:c r="A157" t="str">
        <x:v>T-3153</x:v>
      </x:c>
      <x:c r="B157" t="str">
        <x:v>D-2021</x:v>
      </x:c>
      <x:c r="C157" t="str">
        <x:v>EduPro 80</x:v>
      </x:c>
      <x:c r="D157" t="str">
        <x:v>Prepare dashboard</x:v>
      </x:c>
      <x:c r="E157" t="str">
        <x:v>High</x:v>
      </x:c>
      <x:c r="F157" t="str">
        <x:v>In progress</x:v>
      </x:c>
      <x:c r="G157" s="38" t="n">
        <x:v>46063</x:v>
      </x:c>
      <x:c r="H157" t="str">
        <x:v>Sofia</x:v>
      </x:c>
    </x:row>
    <x:row r="158">
      <x:c r="A158" t="str">
        <x:v>T-3154</x:v>
      </x:c>
      <x:c r="B158" t="str">
        <x:v>D-2076</x:v>
      </x:c>
      <x:c r="C158" t="str">
        <x:v>FinCraft 23</x:v>
      </x:c>
      <x:c r="D158" t="str">
        <x:v>Prepare dashboard</x:v>
      </x:c>
      <x:c r="E158" t="str">
        <x:v>High</x:v>
      </x:c>
      <x:c r="F158" t="str">
        <x:v>In progress</x:v>
      </x:c>
      <x:c r="G158" s="38" t="n">
        <x:v>46152</x:v>
      </x:c>
      <x:c r="H158" t="str">
        <x:v>Olga</x:v>
      </x:c>
    </x:row>
    <x:row r="159">
      <x:c r="A159" t="str">
        <x:v>T-3155</x:v>
      </x:c>
      <x:c r="B159" t="str">
        <x:v>D-2048</x:v>
      </x:c>
      <x:c r="C159" t="str">
        <x:v>FinCraft 7</x:v>
      </x:c>
      <x:c r="D159" t="str">
        <x:v>Prepare dashboard</x:v>
      </x:c>
      <x:c r="E159" t="str">
        <x:v>Medium</x:v>
      </x:c>
      <x:c r="F159" t="str">
        <x:v>Open</x:v>
      </x:c>
      <x:c r="G159" s="38" t="n">
        <x:v>46085</x:v>
      </x:c>
      <x:c r="H159" t="str">
        <x:v>Maria</x:v>
      </x:c>
    </x:row>
    <x:row r="160">
      <x:c r="A160" t="str">
        <x:v>T-3156</x:v>
      </x:c>
      <x:c r="B160" t="str">
        <x:v>D-2064</x:v>
      </x:c>
      <x:c r="C160" t="str">
        <x:v>AutoFix 47</x:v>
      </x:c>
      <x:c r="D160" t="str">
        <x:v>Client call</x:v>
      </x:c>
      <x:c r="E160" t="str">
        <x:v>Low</x:v>
      </x:c>
      <x:c r="F160" t="str">
        <x:v>Done</x:v>
      </x:c>
      <x:c r="G160" s="38" t="n">
        <x:v>46129</x:v>
      </x:c>
      <x:c r="H160" t="str">
        <x:v>Elena</x:v>
      </x:c>
    </x:row>
    <x:row r="161">
      <x:c r="A161" t="str">
        <x:v>T-3157</x:v>
      </x:c>
      <x:c r="B161" t="str">
        <x:v>D-2119</x:v>
      </x:c>
      <x:c r="C161" t="str">
        <x:v>BrightLabs 73</x:v>
      </x:c>
      <x:c r="D161" t="str">
        <x:v>Follow up</x:v>
      </x:c>
      <x:c r="E161" t="str">
        <x:v>Medium</x:v>
      </x:c>
      <x:c r="F161" t="str">
        <x:v>Open</x:v>
      </x:c>
      <x:c r="G161" s="38" t="n">
        <x:v>46104</x:v>
      </x:c>
      <x:c r="H161" t="str">
        <x:v>Elena</x:v>
      </x:c>
    </x:row>
    <x:row r="162">
      <x:c r="A162" t="str">
        <x:v>T-3158</x:v>
      </x:c>
      <x:c r="B162" t="str">
        <x:v>D-2141</x:v>
      </x:c>
      <x:c r="C162" t="str">
        <x:v>BeautyLab 10</x:v>
      </x:c>
      <x:c r="D162" t="str">
        <x:v>Follow up</x:v>
      </x:c>
      <x:c r="E162" t="str">
        <x:v>Medium</x:v>
      </x:c>
      <x:c r="F162" t="str">
        <x:v>Open</x:v>
      </x:c>
      <x:c r="G162" s="38" t="n">
        <x:v>46104</x:v>
      </x:c>
      <x:c r="H162" t="str">
        <x:v>Elena</x:v>
      </x:c>
    </x:row>
    <x:row r="163">
      <x:c r="A163" t="str">
        <x:v>T-3159</x:v>
      </x:c>
      <x:c r="B163" t="str">
        <x:v>D-2098</x:v>
      </x:c>
      <x:c r="C163" t="str">
        <x:v>RealEstate Pro 4</x:v>
      </x:c>
      <x:c r="D163" t="str">
        <x:v>Prepare dashboard</x:v>
      </x:c>
      <x:c r="E163" t="str">
        <x:v>Medium</x:v>
      </x:c>
      <x:c r="F163" t="str">
        <x:v>Open</x:v>
      </x:c>
      <x:c r="G163" s="38" t="n">
        <x:v>46086</x:v>
      </x:c>
      <x:c r="H163" t="str">
        <x:v>Anna</x:v>
      </x:c>
    </x:row>
    <x:row r="164">
      <x:c r="A164" t="str">
        <x:v>T-3160</x:v>
      </x:c>
      <x:c r="B164" t="str">
        <x:v>D-2136</x:v>
      </x:c>
      <x:c r="C164" t="str">
        <x:v>Baltic Retail 76</x:v>
      </x:c>
      <x:c r="D164" t="str">
        <x:v>Prepare dashboard</x:v>
      </x:c>
      <x:c r="E164" t="str">
        <x:v>High</x:v>
      </x:c>
      <x:c r="F164" t="str">
        <x:v>Done</x:v>
      </x:c>
      <x:c r="G164" s="38" t="n">
        <x:v>46098</x:v>
      </x:c>
      <x:c r="H164" t="str">
        <x:v>Maria</x:v>
      </x:c>
    </x:row>
    <x:row r="165">
      <x:c r="A165" t="str">
        <x:v>T-3161</x:v>
      </x:c>
      <x:c r="B165" t="str">
        <x:v>D-2022</x:v>
      </x:c>
      <x:c r="C165" t="str">
        <x:v>RealEstate Pro 29</x:v>
      </x:c>
      <x:c r="D165" t="str">
        <x:v>Prepare dashboard</x:v>
      </x:c>
      <x:c r="E165" t="str">
        <x:v>Critical</x:v>
      </x:c>
      <x:c r="F165" t="str">
        <x:v>In progress</x:v>
      </x:c>
      <x:c r="G165" s="38" t="n">
        <x:v>46154</x:v>
      </x:c>
      <x:c r="H165" t="str">
        <x:v>Sofia</x:v>
      </x:c>
    </x:row>
    <x:row r="166">
      <x:c r="A166" t="str">
        <x:v>T-3162</x:v>
      </x:c>
      <x:c r="B166" t="str">
        <x:v>D-2074</x:v>
      </x:c>
      <x:c r="C166" t="str">
        <x:v>EduPro 80</x:v>
      </x:c>
      <x:c r="D166" t="str">
        <x:v>Send proposal</x:v>
      </x:c>
      <x:c r="E166" t="str">
        <x:v>Low</x:v>
      </x:c>
      <x:c r="F166" t="str">
        <x:v>In progress</x:v>
      </x:c>
      <x:c r="G166" s="38" t="n">
        <x:v>46076</x:v>
      </x:c>
      <x:c r="H166" t="str">
        <x:v>Anna</x:v>
      </x:c>
    </x:row>
    <x:row r="167">
      <x:c r="A167" t="str">
        <x:v>T-3163</x:v>
      </x:c>
      <x:c r="B167" t="str">
        <x:v>D-2027</x:v>
      </x:c>
      <x:c r="C167" t="str">
        <x:v>LogiTrans 19</x:v>
      </x:c>
      <x:c r="D167" t="str">
        <x:v>Follow up</x:v>
      </x:c>
      <x:c r="E167" t="str">
        <x:v>Critical</x:v>
      </x:c>
      <x:c r="F167" t="str">
        <x:v>Done</x:v>
      </x:c>
      <x:c r="G167" s="38" t="n">
        <x:v>46166</x:v>
      </x:c>
      <x:c r="H167" t="str">
        <x:v>Daria</x:v>
      </x:c>
    </x:row>
    <x:row r="168">
      <x:c r="A168" t="str">
        <x:v>T-3164</x:v>
      </x:c>
      <x:c r="B168" t="str">
        <x:v>D-2122</x:v>
      </x:c>
      <x:c r="C168" t="str">
        <x:v>Nord Studio 2</x:v>
      </x:c>
      <x:c r="D168" t="str">
        <x:v>Invoice</x:v>
      </x:c>
      <x:c r="E168" t="str">
        <x:v>Low</x:v>
      </x:c>
      <x:c r="F168" t="str">
        <x:v>Done</x:v>
      </x:c>
      <x:c r="G168" s="38" t="n">
        <x:v>46174</x:v>
      </x:c>
      <x:c r="H168" t="str">
        <x:v>Elena</x:v>
      </x:c>
    </x:row>
    <x:row r="169">
      <x:c r="A169" t="str">
        <x:v>T-3165</x:v>
      </x:c>
      <x:c r="B169" t="str">
        <x:v>D-2074</x:v>
      </x:c>
      <x:c r="C169" t="str">
        <x:v>EduPro 80</x:v>
      </x:c>
      <x:c r="D169" t="str">
        <x:v>Follow up</x:v>
      </x:c>
      <x:c r="E169" t="str">
        <x:v>Critical</x:v>
      </x:c>
      <x:c r="F169" t="str">
        <x:v>Done</x:v>
      </x:c>
      <x:c r="G169" s="38" t="n">
        <x:v>46095</x:v>
      </x:c>
      <x:c r="H169" t="str">
        <x:v>Anna</x:v>
      </x:c>
    </x:row>
    <x:row r="170">
      <x:c r="A170" t="str">
        <x:v>T-3166</x:v>
      </x:c>
      <x:c r="B170" t="str">
        <x:v>D-2129</x:v>
      </x:c>
      <x:c r="C170" t="str">
        <x:v>DataPulse 63</x:v>
      </x:c>
      <x:c r="D170" t="str">
        <x:v>Invoice</x:v>
      </x:c>
      <x:c r="E170" t="str">
        <x:v>Critical</x:v>
      </x:c>
      <x:c r="F170" t="str">
        <x:v>In progress</x:v>
      </x:c>
      <x:c r="G170" s="38" t="n">
        <x:v>46075</x:v>
      </x:c>
      <x:c r="H170" t="str">
        <x:v>Maria</x:v>
      </x:c>
    </x:row>
    <x:row r="171">
      <x:c r="A171" t="str">
        <x:v>T-3167</x:v>
      </x:c>
      <x:c r="B171" t="str">
        <x:v>D-2118</x:v>
      </x:c>
      <x:c r="C171" t="str">
        <x:v>FitLife 27</x:v>
      </x:c>
      <x:c r="D171" t="str">
        <x:v>Data request</x:v>
      </x:c>
      <x:c r="E171" t="str">
        <x:v>High</x:v>
      </x:c>
      <x:c r="F171" t="str">
        <x:v>Open</x:v>
      </x:c>
      <x:c r="G171" s="38" t="n">
        <x:v>46086</x:v>
      </x:c>
      <x:c r="H171" t="str">
        <x:v>Daria</x:v>
      </x:c>
    </x:row>
    <x:row r="172">
      <x:c r="A172" t="str">
        <x:v>T-3168</x:v>
      </x:c>
      <x:c r="B172" t="str">
        <x:v>D-2040</x:v>
      </x:c>
      <x:c r="C172" t="str">
        <x:v>HealthPlus 28</x:v>
      </x:c>
      <x:c r="D172" t="str">
        <x:v>Send proposal</x:v>
      </x:c>
      <x:c r="E172" t="str">
        <x:v>Critical</x:v>
      </x:c>
      <x:c r="F172" t="str">
        <x:v>In progress</x:v>
      </x:c>
      <x:c r="G172" s="38" t="n">
        <x:v>46079</x:v>
      </x:c>
      <x:c r="H172" t="str">
        <x:v>Olga</x:v>
      </x:c>
    </x:row>
    <x:row r="173">
      <x:c r="A173" t="str">
        <x:v>T-3169</x:v>
      </x:c>
      <x:c r="B173" t="str">
        <x:v>D-2119</x:v>
      </x:c>
      <x:c r="C173" t="str">
        <x:v>BrightLabs 73</x:v>
      </x:c>
      <x:c r="D173" t="str">
        <x:v>Client call</x:v>
      </x:c>
      <x:c r="E173" t="str">
        <x:v>Medium</x:v>
      </x:c>
      <x:c r="F173" t="str">
        <x:v>In progress</x:v>
      </x:c>
      <x:c r="G173" s="38" t="n">
        <x:v>46063</x:v>
      </x:c>
      <x:c r="H173" t="str">
        <x:v>Sofia</x:v>
      </x:c>
    </x:row>
    <x:row r="174">
      <x:c r="A174" t="str">
        <x:v>T-3170</x:v>
      </x:c>
      <x:c r="B174" t="str">
        <x:v>D-2037</x:v>
      </x:c>
      <x:c r="C174" t="str">
        <x:v>FreshMarket 37</x:v>
      </x:c>
      <x:c r="D174" t="str">
        <x:v>Send proposal</x:v>
      </x:c>
      <x:c r="E174" t="str">
        <x:v>Critical</x:v>
      </x:c>
      <x:c r="F174" t="str">
        <x:v>Open</x:v>
      </x:c>
      <x:c r="G174" s="38" t="n">
        <x:v>46151</x:v>
      </x:c>
      <x:c r="H174" t="str">
        <x:v>Sofia</x:v>
      </x:c>
    </x:row>
    <x:row r="175">
      <x:c r="A175" t="str">
        <x:v>T-3171</x:v>
      </x:c>
      <x:c r="B175" t="str">
        <x:v>D-2160</x:v>
      </x:c>
      <x:c r="C175" t="str">
        <x:v>Baltic Retail 38</x:v>
      </x:c>
      <x:c r="D175" t="str">
        <x:v>Prepare dashboard</x:v>
      </x:c>
      <x:c r="E175" t="str">
        <x:v>Medium</x:v>
      </x:c>
      <x:c r="F175" t="str">
        <x:v>In progress</x:v>
      </x:c>
      <x:c r="G175" s="38" t="n">
        <x:v>46140</x:v>
      </x:c>
      <x:c r="H175" t="str">
        <x:v>Sofia</x:v>
      </x:c>
    </x:row>
    <x:row r="176">
      <x:c r="A176" t="str">
        <x:v>T-3172</x:v>
      </x:c>
      <x:c r="B176" t="str">
        <x:v>D-2159</x:v>
      </x:c>
      <x:c r="C176" t="str">
        <x:v>EduPro 22</x:v>
      </x:c>
      <x:c r="D176" t="str">
        <x:v>Follow up</x:v>
      </x:c>
      <x:c r="E176" t="str">
        <x:v>Low</x:v>
      </x:c>
      <x:c r="F176" t="str">
        <x:v>In progress</x:v>
      </x:c>
      <x:c r="G176" s="38" t="n">
        <x:v>46066</x:v>
      </x:c>
      <x:c r="H176" t="str">
        <x:v>Anna</x:v>
      </x:c>
    </x:row>
    <x:row r="177">
      <x:c r="A177" t="str">
        <x:v>T-3173</x:v>
      </x:c>
      <x:c r="B177" t="str">
        <x:v>D-2110</x:v>
      </x:c>
      <x:c r="C177" t="str">
        <x:v>HealthPlus 42</x:v>
      </x:c>
      <x:c r="D177" t="str">
        <x:v>Prepare dashboard</x:v>
      </x:c>
      <x:c r="E177" t="str">
        <x:v>Medium</x:v>
      </x:c>
      <x:c r="F177" t="str">
        <x:v>Done</x:v>
      </x:c>
      <x:c r="G177" s="38" t="n">
        <x:v>46115</x:v>
      </x:c>
      <x:c r="H177" t="str">
        <x:v>Olga</x:v>
      </x:c>
    </x:row>
    <x:row r="178">
      <x:c r="A178" t="str">
        <x:v>T-3174</x:v>
      </x:c>
      <x:c r="B178" t="str">
        <x:v>D-2018</x:v>
      </x:c>
      <x:c r="C178" t="str">
        <x:v>CryptoDesk 56</x:v>
      </x:c>
      <x:c r="D178" t="str">
        <x:v>Client call</x:v>
      </x:c>
      <x:c r="E178" t="str">
        <x:v>High</x:v>
      </x:c>
      <x:c r="F178" t="str">
        <x:v>Open</x:v>
      </x:c>
      <x:c r="G178" s="38" t="n">
        <x:v>46064</x:v>
      </x:c>
      <x:c r="H178" t="str">
        <x:v>Daria</x:v>
      </x:c>
    </x:row>
    <x:row r="179">
      <x:c r="A179" t="str">
        <x:v>T-3175</x:v>
      </x:c>
      <x:c r="B179" t="str">
        <x:v>D-2126</x:v>
      </x:c>
      <x:c r="C179" t="str">
        <x:v>EduPro 50</x:v>
      </x:c>
      <x:c r="D179" t="str">
        <x:v>Send proposal</x:v>
      </x:c>
      <x:c r="E179" t="str">
        <x:v>Low</x:v>
      </x:c>
      <x:c r="F179" t="str">
        <x:v>In progress</x:v>
      </x:c>
      <x:c r="G179" s="38" t="n">
        <x:v>46133</x:v>
      </x:c>
      <x:c r="H179" t="str">
        <x:v>Maria</x:v>
      </x:c>
    </x:row>
    <x:row r="180">
      <x:c r="A180" t="str">
        <x:v>T-3176</x:v>
      </x:c>
      <x:c r="B180" t="str">
        <x:v>D-2029</x:v>
      </x:c>
      <x:c r="C180" t="str">
        <x:v>FitLife 27</x:v>
      </x:c>
      <x:c r="D180" t="str">
        <x:v>Client call</x:v>
      </x:c>
      <x:c r="E180" t="str">
        <x:v>Medium</x:v>
      </x:c>
      <x:c r="F180" t="str">
        <x:v>Done</x:v>
      </x:c>
      <x:c r="G180" s="38" t="n">
        <x:v>46131</x:v>
      </x:c>
      <x:c r="H180" t="str">
        <x:v>Olga</x:v>
      </x:c>
    </x:row>
    <x:row r="181">
      <x:c r="A181" t="str">
        <x:v>T-3177</x:v>
      </x:c>
      <x:c r="B181" t="str">
        <x:v>D-2117</x:v>
      </x:c>
      <x:c r="C181" t="str">
        <x:v>BrightLabs 59</x:v>
      </x:c>
      <x:c r="D181" t="str">
        <x:v>Send proposal</x:v>
      </x:c>
      <x:c r="E181" t="str">
        <x:v>Low</x:v>
      </x:c>
      <x:c r="F181" t="str">
        <x:v>Blocked</x:v>
      </x:c>
      <x:c r="G181" s="38" t="n">
        <x:v>46074</x:v>
      </x:c>
      <x:c r="H181" t="str">
        <x:v>Sofia</x:v>
      </x:c>
    </x:row>
    <x:row r="182">
      <x:c r="A182" t="str">
        <x:v>T-3178</x:v>
      </x:c>
      <x:c r="B182" t="str">
        <x:v>D-2054</x:v>
      </x:c>
      <x:c r="C182" t="str">
        <x:v>EduPro 50</x:v>
      </x:c>
      <x:c r="D182" t="str">
        <x:v>Client call</x:v>
      </x:c>
      <x:c r="E182" t="str">
        <x:v>Medium</x:v>
      </x:c>
      <x:c r="F182" t="str">
        <x:v>In progress</x:v>
      </x:c>
      <x:c r="G182" s="38" t="n">
        <x:v>46147</x:v>
      </x:c>
      <x:c r="H182" t="str">
        <x:v>Sofia</x:v>
      </x:c>
    </x:row>
    <x:row r="183">
      <x:c r="A183" t="str">
        <x:v>T-3179</x:v>
      </x:c>
      <x:c r="B183" t="str">
        <x:v>D-2135</x:v>
      </x:c>
      <x:c r="C183" t="str">
        <x:v>Baltic Retail 38</x:v>
      </x:c>
      <x:c r="D183" t="str">
        <x:v>Invoice</x:v>
      </x:c>
      <x:c r="E183" t="str">
        <x:v>High</x:v>
      </x:c>
      <x:c r="F183" t="str">
        <x:v>Open</x:v>
      </x:c>
      <x:c r="G183" s="38" t="n">
        <x:v>46066</x:v>
      </x:c>
      <x:c r="H183" t="str">
        <x:v>Daria</x:v>
      </x:c>
    </x:row>
    <x:row r="184">
      <x:c r="A184" t="str">
        <x:v>T-3180</x:v>
      </x:c>
      <x:c r="B184" t="str">
        <x:v>D-2143</x:v>
      </x:c>
      <x:c r="C184" t="str">
        <x:v>CloudNine 43</x:v>
      </x:c>
      <x:c r="D184" t="str">
        <x:v>Prepare dashboard</x:v>
      </x:c>
      <x:c r="E184" t="str">
        <x:v>High</x:v>
      </x:c>
      <x:c r="F184" t="str">
        <x:v>Done</x:v>
      </x:c>
      <x:c r="G184" s="38" t="n">
        <x:v>46122</x:v>
      </x:c>
      <x:c r="H184" t="str">
        <x:v>Olga</x:v>
      </x:c>
    </x:row>
    <x:row r="185">
      <x:c r="A185" t="str">
        <x:v>T-3181</x:v>
      </x:c>
      <x:c r="B185" t="str">
        <x:v>D-2007</x:v>
      </x:c>
      <x:c r="C185" t="str">
        <x:v>HealthPlus 28</x:v>
      </x:c>
      <x:c r="D185" t="str">
        <x:v>Prepare dashboard</x:v>
      </x:c>
      <x:c r="E185" t="str">
        <x:v>Low</x:v>
      </x:c>
      <x:c r="F185" t="str">
        <x:v>Done</x:v>
      </x:c>
      <x:c r="G185" s="38" t="n">
        <x:v>46083</x:v>
      </x:c>
      <x:c r="H185" t="str">
        <x:v>Elena</x:v>
      </x:c>
    </x:row>
    <x:row r="186">
      <x:c r="A186" t="str">
        <x:v>T-3182</x:v>
      </x:c>
      <x:c r="B186" t="str">
        <x:v>D-2060</x:v>
      </x:c>
      <x:c r="C186" t="str">
        <x:v>Nord Studio 2</x:v>
      </x:c>
      <x:c r="D186" t="str">
        <x:v>Data request</x:v>
      </x:c>
      <x:c r="E186" t="str">
        <x:v>High</x:v>
      </x:c>
      <x:c r="F186" t="str">
        <x:v>Open</x:v>
      </x:c>
      <x:c r="G186" s="38" t="n">
        <x:v>46134</x:v>
      </x:c>
      <x:c r="H186" t="str">
        <x:v>Maria</x:v>
      </x:c>
    </x:row>
    <x:row r="187">
      <x:c r="A187" t="str">
        <x:v>T-3183</x:v>
      </x:c>
      <x:c r="B187" t="str">
        <x:v>D-2075</x:v>
      </x:c>
      <x:c r="C187" t="str">
        <x:v>EduPro 74</x:v>
      </x:c>
      <x:c r="D187" t="str">
        <x:v>Invoice</x:v>
      </x:c>
      <x:c r="E187" t="str">
        <x:v>High</x:v>
      </x:c>
      <x:c r="F187" t="str">
        <x:v>Open</x:v>
      </x:c>
      <x:c r="G187" s="38" t="n">
        <x:v>46115</x:v>
      </x:c>
      <x:c r="H187" t="str">
        <x:v>Olga</x:v>
      </x:c>
    </x:row>
    <x:row r="188">
      <x:c r="A188" t="str">
        <x:v>T-3184</x:v>
      </x:c>
      <x:c r="B188" t="str">
        <x:v>D-2142</x:v>
      </x:c>
      <x:c r="C188" t="str">
        <x:v>FinCraft 23</x:v>
      </x:c>
      <x:c r="D188" t="str">
        <x:v>Invoice</x:v>
      </x:c>
      <x:c r="E188" t="str">
        <x:v>Critical</x:v>
      </x:c>
      <x:c r="F188" t="str">
        <x:v>Open</x:v>
      </x:c>
      <x:c r="G188" s="38" t="n">
        <x:v>46138</x:v>
      </x:c>
      <x:c r="H188" t="str">
        <x:v>Daria</x:v>
      </x:c>
    </x:row>
    <x:row r="189">
      <x:c r="A189" t="str">
        <x:v>T-3185</x:v>
      </x:c>
      <x:c r="B189" t="str">
        <x:v>D-2146</x:v>
      </x:c>
      <x:c r="C189" t="str">
        <x:v>FinCraft 8</x:v>
      </x:c>
      <x:c r="D189" t="str">
        <x:v>Invoice</x:v>
      </x:c>
      <x:c r="E189" t="str">
        <x:v>Critical</x:v>
      </x:c>
      <x:c r="F189" t="str">
        <x:v>Open</x:v>
      </x:c>
      <x:c r="G189" s="38" t="n">
        <x:v>46088</x:v>
      </x:c>
      <x:c r="H189" t="str">
        <x:v>Sofia</x:v>
      </x:c>
    </x:row>
    <x:row r="190">
      <x:c r="A190" t="str">
        <x:v>T-3186</x:v>
      </x:c>
      <x:c r="B190" t="str">
        <x:v>D-2029</x:v>
      </x:c>
      <x:c r="C190" t="str">
        <x:v>FitLife 27</x:v>
      </x:c>
      <x:c r="D190" t="str">
        <x:v>Invoice</x:v>
      </x:c>
      <x:c r="E190" t="str">
        <x:v>Medium</x:v>
      </x:c>
      <x:c r="F190" t="str">
        <x:v>Done</x:v>
      </x:c>
      <x:c r="G190" s="38" t="n">
        <x:v>46066</x:v>
      </x:c>
      <x:c r="H190" t="str">
        <x:v>Elena</x:v>
      </x:c>
    </x:row>
    <x:row r="191">
      <x:c r="A191" t="str">
        <x:v>T-3187</x:v>
      </x:c>
      <x:c r="B191" t="str">
        <x:v>D-2080</x:v>
      </x:c>
      <x:c r="C191" t="str">
        <x:v>BrightLabs 59</x:v>
      </x:c>
      <x:c r="D191" t="str">
        <x:v>Send proposal</x:v>
      </x:c>
      <x:c r="E191" t="str">
        <x:v>Critical</x:v>
      </x:c>
      <x:c r="F191" t="str">
        <x:v>Done</x:v>
      </x:c>
      <x:c r="G191" s="38" t="n">
        <x:v>46145</x:v>
      </x:c>
      <x:c r="H191" t="str">
        <x:v>Olga</x:v>
      </x:c>
    </x:row>
    <x:row r="192">
      <x:c r="A192" t="str">
        <x:v>T-3188</x:v>
      </x:c>
      <x:c r="B192" t="str">
        <x:v>D-2051</x:v>
      </x:c>
      <x:c r="C192" t="str">
        <x:v>EduPro 80</x:v>
      </x:c>
      <x:c r="D192" t="str">
        <x:v>Data request</x:v>
      </x:c>
      <x:c r="E192" t="str">
        <x:v>High</x:v>
      </x:c>
      <x:c r="F192" t="str">
        <x:v>Done</x:v>
      </x:c>
      <x:c r="G192" s="38" t="n">
        <x:v>46073</x:v>
      </x:c>
      <x:c r="H192" t="str">
        <x:v>Daria</x:v>
      </x:c>
    </x:row>
    <x:row r="193">
      <x:c r="A193" t="str">
        <x:v>T-3189</x:v>
      </x:c>
      <x:c r="B193" t="str">
        <x:v>D-2142</x:v>
      </x:c>
      <x:c r="C193" t="str">
        <x:v>FinCraft 23</x:v>
      </x:c>
      <x:c r="D193" t="str">
        <x:v>Send proposal</x:v>
      </x:c>
      <x:c r="E193" t="str">
        <x:v>High</x:v>
      </x:c>
      <x:c r="F193" t="str">
        <x:v>Done</x:v>
      </x:c>
      <x:c r="G193" s="38" t="n">
        <x:v>46082</x:v>
      </x:c>
      <x:c r="H193" t="str">
        <x:v>Elena</x:v>
      </x:c>
    </x:row>
    <x:row r="194">
      <x:c r="A194" t="str">
        <x:v>T-3190</x:v>
      </x:c>
      <x:c r="B194" t="str">
        <x:v>D-2041</x:v>
      </x:c>
      <x:c r="C194" t="str">
        <x:v>BeautyLab 68</x:v>
      </x:c>
      <x:c r="D194" t="str">
        <x:v>Client call</x:v>
      </x:c>
      <x:c r="E194" t="str">
        <x:v>Medium</x:v>
      </x:c>
      <x:c r="F194" t="str">
        <x:v>Done</x:v>
      </x:c>
      <x:c r="G194" s="38" t="n">
        <x:v>46152</x:v>
      </x:c>
      <x:c r="H194" t="str">
        <x:v>Sofia</x:v>
      </x:c>
    </x:row>
    <x:row r="195">
      <x:c r="A195" t="str">
        <x:v>T-3191</x:v>
      </x:c>
      <x:c r="B195" t="str">
        <x:v>D-2034</x:v>
      </x:c>
      <x:c r="C195" t="str">
        <x:v>Travelio 1</x:v>
      </x:c>
      <x:c r="D195" t="str">
        <x:v>Prepare dashboard</x:v>
      </x:c>
      <x:c r="E195" t="str">
        <x:v>Low</x:v>
      </x:c>
      <x:c r="F195" t="str">
        <x:v>Done</x:v>
      </x:c>
      <x:c r="G195" s="38" t="n">
        <x:v>46067</x:v>
      </x:c>
      <x:c r="H195" t="str">
        <x:v>Anna</x:v>
      </x:c>
    </x:row>
    <x:row r="196">
      <x:c r="A196" t="str">
        <x:v>T-3192</x:v>
      </x:c>
      <x:c r="B196" t="str">
        <x:v>D-2131</x:v>
      </x:c>
      <x:c r="C196" t="str">
        <x:v>FitLife 67</x:v>
      </x:c>
      <x:c r="D196" t="str">
        <x:v>Follow up</x:v>
      </x:c>
      <x:c r="E196" t="str">
        <x:v>Critical</x:v>
      </x:c>
      <x:c r="F196" t="str">
        <x:v>Blocked</x:v>
      </x:c>
      <x:c r="G196" s="38" t="n">
        <x:v>46058</x:v>
      </x:c>
      <x:c r="H196" t="str">
        <x:v>Maria</x:v>
      </x:c>
    </x:row>
    <x:row r="197">
      <x:c r="A197" t="str">
        <x:v>T-3193</x:v>
      </x:c>
      <x:c r="B197" t="str">
        <x:v>D-2097</x:v>
      </x:c>
      <x:c r="C197" t="str">
        <x:v>Baltic Retail 33</x:v>
      </x:c>
      <x:c r="D197" t="str">
        <x:v>Prepare dashboard</x:v>
      </x:c>
      <x:c r="E197" t="str">
        <x:v>High</x:v>
      </x:c>
      <x:c r="F197" t="str">
        <x:v>Open</x:v>
      </x:c>
      <x:c r="G197" s="38" t="n">
        <x:v>46137</x:v>
      </x:c>
      <x:c r="H197" t="str">
        <x:v>Anna</x:v>
      </x:c>
    </x:row>
    <x:row r="198">
      <x:c r="A198" t="str">
        <x:v>T-3194</x:v>
      </x:c>
      <x:c r="B198" t="str">
        <x:v>D-2075</x:v>
      </x:c>
      <x:c r="C198" t="str">
        <x:v>EduPro 74</x:v>
      </x:c>
      <x:c r="D198" t="str">
        <x:v>Data request</x:v>
      </x:c>
      <x:c r="E198" t="str">
        <x:v>Low</x:v>
      </x:c>
      <x:c r="F198" t="str">
        <x:v>Blocked</x:v>
      </x:c>
      <x:c r="G198" s="38" t="n">
        <x:v>46138</x:v>
      </x:c>
      <x:c r="H198" t="str">
        <x:v>Elena</x:v>
      </x:c>
    </x:row>
    <x:row r="199">
      <x:c r="A199" t="str">
        <x:v>T-3195</x:v>
      </x:c>
      <x:c r="B199" t="str">
        <x:v>D-2121</x:v>
      </x:c>
      <x:c r="C199" t="str">
        <x:v>DataPulse 31</x:v>
      </x:c>
      <x:c r="D199" t="str">
        <x:v>Data request</x:v>
      </x:c>
      <x:c r="E199" t="str">
        <x:v>Low</x:v>
      </x:c>
      <x:c r="F199" t="str">
        <x:v>Open</x:v>
      </x:c>
      <x:c r="G199" s="38" t="n">
        <x:v>46126</x:v>
      </x:c>
      <x:c r="H199" t="str">
        <x:v>Sofia</x:v>
      </x:c>
    </x:row>
    <x:row r="200">
      <x:c r="A200" t="str">
        <x:v>T-3196</x:v>
      </x:c>
      <x:c r="B200" t="str">
        <x:v>D-2108</x:v>
      </x:c>
      <x:c r="C200" t="str">
        <x:v>BeautyLab 10</x:v>
      </x:c>
      <x:c r="D200" t="str">
        <x:v>Prepare dashboard</x:v>
      </x:c>
      <x:c r="E200" t="str">
        <x:v>High</x:v>
      </x:c>
      <x:c r="F200" t="str">
        <x:v>Done</x:v>
      </x:c>
      <x:c r="G200" s="38" t="n">
        <x:v>46161</x:v>
      </x:c>
      <x:c r="H200" t="str">
        <x:v>Olga</x:v>
      </x:c>
    </x:row>
    <x:row r="201">
      <x:c r="A201" t="str">
        <x:v>T-3197</x:v>
      </x:c>
      <x:c r="B201" t="str">
        <x:v>D-2027</x:v>
      </x:c>
      <x:c r="C201" t="str">
        <x:v>LogiTrans 19</x:v>
      </x:c>
      <x:c r="D201" t="str">
        <x:v>Prepare dashboard</x:v>
      </x:c>
      <x:c r="E201" t="str">
        <x:v>Medium</x:v>
      </x:c>
      <x:c r="F201" t="str">
        <x:v>Blocked</x:v>
      </x:c>
      <x:c r="G201" s="38" t="n">
        <x:v>46156</x:v>
      </x:c>
      <x:c r="H201" t="str">
        <x:v>Sofia</x:v>
      </x:c>
    </x:row>
    <x:row r="202">
      <x:c r="A202" t="str">
        <x:v>T-3198</x:v>
      </x:c>
      <x:c r="B202" t="str">
        <x:v>D-2149</x:v>
      </x:c>
      <x:c r="C202" t="str">
        <x:v>AutoFix 32</x:v>
      </x:c>
      <x:c r="D202" t="str">
        <x:v>Prepare dashboard</x:v>
      </x:c>
      <x:c r="E202" t="str">
        <x:v>Low</x:v>
      </x:c>
      <x:c r="F202" t="str">
        <x:v>Done</x:v>
      </x:c>
      <x:c r="G202" s="38" t="n">
        <x:v>46106</x:v>
      </x:c>
      <x:c r="H202" t="str">
        <x:v>Anna</x:v>
      </x:c>
    </x:row>
    <x:row r="203">
      <x:c r="A203" t="str">
        <x:v>T-3199</x:v>
      </x:c>
      <x:c r="B203" t="str">
        <x:v>D-2134</x:v>
      </x:c>
      <x:c r="C203" t="str">
        <x:v>FinCraft 8</x:v>
      </x:c>
      <x:c r="D203" t="str">
        <x:v>Client call</x:v>
      </x:c>
      <x:c r="E203" t="str">
        <x:v>Low</x:v>
      </x:c>
      <x:c r="F203" t="str">
        <x:v>Open</x:v>
      </x:c>
      <x:c r="G203" s="38" t="n">
        <x:v>46085</x:v>
      </x:c>
      <x:c r="H203" t="str">
        <x:v>Elena</x:v>
      </x:c>
    </x:row>
    <x:row r="204">
      <x:c r="A204" t="str">
        <x:v>T-3200</x:v>
      </x:c>
      <x:c r="B204" t="str">
        <x:v>D-2123</x:v>
      </x:c>
      <x:c r="C204" t="str">
        <x:v>BeautyLab 68</x:v>
      </x:c>
      <x:c r="D204" t="str">
        <x:v>Prepare dashboard</x:v>
      </x:c>
      <x:c r="E204" t="str">
        <x:v>High</x:v>
      </x:c>
      <x:c r="F204" t="str">
        <x:v>Open</x:v>
      </x:c>
      <x:c r="G204" s="38" t="n">
        <x:v>46087</x:v>
      </x:c>
      <x:c r="H204" t="str">
        <x:v>Elena</x:v>
      </x:c>
    </x:row>
    <x:row r="205">
      <x:c r="A205" t="str">
        <x:v>T-3201</x:v>
      </x:c>
      <x:c r="B205" t="str">
        <x:v>D-2035</x:v>
      </x:c>
      <x:c r="C205" t="str">
        <x:v>GreenHome 15</x:v>
      </x:c>
      <x:c r="D205" t="str">
        <x:v>Invoice</x:v>
      </x:c>
      <x:c r="E205" t="str">
        <x:v>Medium</x:v>
      </x:c>
      <x:c r="F205" t="str">
        <x:v>In progress</x:v>
      </x:c>
      <x:c r="G205" s="38" t="n">
        <x:v>46153</x:v>
      </x:c>
      <x:c r="H205" t="str">
        <x:v>Olga</x:v>
      </x:c>
    </x:row>
    <x:row r="206">
      <x:c r="A206" t="str">
        <x:v>T-3202</x:v>
      </x:c>
      <x:c r="B206" t="str">
        <x:v>D-2068</x:v>
      </x:c>
      <x:c r="C206" t="str">
        <x:v>CloudNine 11</x:v>
      </x:c>
      <x:c r="D206" t="str">
        <x:v>Invoice</x:v>
      </x:c>
      <x:c r="E206" t="str">
        <x:v>Medium</x:v>
      </x:c>
      <x:c r="F206" t="str">
        <x:v>Open</x:v>
      </x:c>
      <x:c r="G206" s="38" t="n">
        <x:v>46152</x:v>
      </x:c>
      <x:c r="H206" t="str">
        <x:v>Anna</x:v>
      </x:c>
    </x:row>
    <x:row r="207">
      <x:c r="A207" t="str">
        <x:v>T-3203</x:v>
      </x:c>
      <x:c r="B207" t="str">
        <x:v>D-2069</x:v>
      </x:c>
      <x:c r="C207" t="str">
        <x:v>EduPro 30</x:v>
      </x:c>
      <x:c r="D207" t="str">
        <x:v>Prepare dashboard</x:v>
      </x:c>
      <x:c r="E207" t="str">
        <x:v>Medium</x:v>
      </x:c>
      <x:c r="F207" t="str">
        <x:v>Done</x:v>
      </x:c>
      <x:c r="G207" s="38" t="n">
        <x:v>46146</x:v>
      </x:c>
      <x:c r="H207" t="str">
        <x:v>Olga</x:v>
      </x:c>
    </x:row>
    <x:row r="208">
      <x:c r="A208" t="str">
        <x:v>T-3204</x:v>
      </x:c>
      <x:c r="B208" t="str">
        <x:v>D-2002</x:v>
      </x:c>
      <x:c r="C208" t="str">
        <x:v>EduPro 75</x:v>
      </x:c>
      <x:c r="D208" t="str">
        <x:v>Follow up</x:v>
      </x:c>
      <x:c r="E208" t="str">
        <x:v>High</x:v>
      </x:c>
      <x:c r="F208" t="str">
        <x:v>Done</x:v>
      </x:c>
      <x:c r="G208" s="38" t="n">
        <x:v>46102</x:v>
      </x:c>
      <x:c r="H208" t="str">
        <x:v>Daria</x:v>
      </x:c>
    </x:row>
    <x:row r="209">
      <x:c r="A209" t="str">
        <x:v>T-3205</x:v>
      </x:c>
      <x:c r="B209" t="str">
        <x:v>D-2014</x:v>
      </x:c>
      <x:c r="C209" t="str">
        <x:v>FitLife 67</x:v>
      </x:c>
      <x:c r="D209" t="str">
        <x:v>Data request</x:v>
      </x:c>
      <x:c r="E209" t="str">
        <x:v>High</x:v>
      </x:c>
      <x:c r="F209" t="str">
        <x:v>Open</x:v>
      </x:c>
      <x:c r="G209" s="38" t="n">
        <x:v>46137</x:v>
      </x:c>
      <x:c r="H209" t="str">
        <x:v>Daria</x:v>
      </x:c>
    </x:row>
    <x:row r="210">
      <x:c r="A210" t="str">
        <x:v>T-3206</x:v>
      </x:c>
      <x:c r="B210" t="str">
        <x:v>D-2160</x:v>
      </x:c>
      <x:c r="C210" t="str">
        <x:v>Baltic Retail 38</x:v>
      </x:c>
      <x:c r="D210" t="str">
        <x:v>Follow up</x:v>
      </x:c>
      <x:c r="E210" t="str">
        <x:v>High</x:v>
      </x:c>
      <x:c r="F210" t="str">
        <x:v>Done</x:v>
      </x:c>
      <x:c r="G210" s="38" t="n">
        <x:v>46140</x:v>
      </x:c>
      <x:c r="H210" t="str">
        <x:v>Daria</x:v>
      </x:c>
    </x:row>
    <x:row r="211">
      <x:c r="A211" t="str">
        <x:v>T-3207</x:v>
      </x:c>
      <x:c r="B211" t="str">
        <x:v>D-2051</x:v>
      </x:c>
      <x:c r="C211" t="str">
        <x:v>EduPro 80</x:v>
      </x:c>
      <x:c r="D211" t="str">
        <x:v>Data request</x:v>
      </x:c>
      <x:c r="E211" t="str">
        <x:v>High</x:v>
      </x:c>
      <x:c r="F211" t="str">
        <x:v>In progress</x:v>
      </x:c>
      <x:c r="G211" s="38" t="n">
        <x:v>46068</x:v>
      </x:c>
      <x:c r="H211" t="str">
        <x:v>Elena</x:v>
      </x:c>
    </x:row>
    <x:row r="212">
      <x:c r="A212" t="str">
        <x:v>T-3208</x:v>
      </x:c>
      <x:c r="B212" t="str">
        <x:v>D-2160</x:v>
      </x:c>
      <x:c r="C212" t="str">
        <x:v>Baltic Retail 38</x:v>
      </x:c>
      <x:c r="D212" t="str">
        <x:v>Invoice</x:v>
      </x:c>
      <x:c r="E212" t="str">
        <x:v>Critical</x:v>
      </x:c>
      <x:c r="F212" t="str">
        <x:v>Done</x:v>
      </x:c>
      <x:c r="G212" s="38" t="n">
        <x:v>46139</x:v>
      </x:c>
      <x:c r="H212" t="str">
        <x:v>Anna</x:v>
      </x:c>
    </x:row>
    <x:row r="213">
      <x:c r="A213" t="str">
        <x:v>T-3209</x:v>
      </x:c>
      <x:c r="B213" t="str">
        <x:v>D-2078</x:v>
      </x:c>
      <x:c r="C213" t="str">
        <x:v>CloudNine 14</x:v>
      </x:c>
      <x:c r="D213" t="str">
        <x:v>Prepare dashboard</x:v>
      </x:c>
      <x:c r="E213" t="str">
        <x:v>Low</x:v>
      </x:c>
      <x:c r="F213" t="str">
        <x:v>Blocked</x:v>
      </x:c>
      <x:c r="G213" s="38" t="n">
        <x:v>46074</x:v>
      </x:c>
      <x:c r="H213" t="str">
        <x:v>Olga</x:v>
      </x:c>
    </x:row>
    <x:row r="214">
      <x:c r="A214" t="str">
        <x:v>T-3210</x:v>
      </x:c>
      <x:c r="B214" t="str">
        <x:v>D-2011</x:v>
      </x:c>
      <x:c r="C214" t="str">
        <x:v>HealthPlus 42</x:v>
      </x:c>
      <x:c r="D214" t="str">
        <x:v>Prepare dashboard</x:v>
      </x:c>
      <x:c r="E214" t="str">
        <x:v>High</x:v>
      </x:c>
      <x:c r="F214" t="str">
        <x:v>In progress</x:v>
      </x:c>
      <x:c r="G214" s="38" t="n">
        <x:v>46084</x:v>
      </x:c>
      <x:c r="H214" t="str">
        <x:v>Sofia</x:v>
      </x:c>
    </x:row>
    <x:row r="215">
      <x:c r="A215" t="str">
        <x:v>T-3211</x:v>
      </x:c>
      <x:c r="B215" t="str">
        <x:v>D-2004</x:v>
      </x:c>
      <x:c r="C215" t="str">
        <x:v>Baltic Retail 38</x:v>
      </x:c>
      <x:c r="D215" t="str">
        <x:v>Invoice</x:v>
      </x:c>
      <x:c r="E215" t="str">
        <x:v>Low</x:v>
      </x:c>
      <x:c r="F215" t="str">
        <x:v>In progress</x:v>
      </x:c>
      <x:c r="G215" s="38" t="n">
        <x:v>46173</x:v>
      </x:c>
      <x:c r="H215" t="str">
        <x:v>Olga</x:v>
      </x:c>
    </x:row>
    <x:row r="216">
      <x:c r="A216" t="str">
        <x:v>T-3212</x:v>
      </x:c>
      <x:c r="B216" t="str">
        <x:v>D-2129</x:v>
      </x:c>
      <x:c r="C216" t="str">
        <x:v>DataPulse 63</x:v>
      </x:c>
      <x:c r="D216" t="str">
        <x:v>Data request</x:v>
      </x:c>
      <x:c r="E216" t="str">
        <x:v>High</x:v>
      </x:c>
      <x:c r="F216" t="str">
        <x:v>Open</x:v>
      </x:c>
      <x:c r="G216" s="38" t="n">
        <x:v>46127</x:v>
      </x:c>
      <x:c r="H216" t="str">
        <x:v>Daria</x:v>
      </x:c>
    </x:row>
    <x:row r="217">
      <x:c r="A217" t="str">
        <x:v>T-3213</x:v>
      </x:c>
      <x:c r="B217" t="str">
        <x:v>D-2102</x:v>
      </x:c>
      <x:c r="C217" t="str">
        <x:v>HealthPlus 48</x:v>
      </x:c>
      <x:c r="D217" t="str">
        <x:v>Data request</x:v>
      </x:c>
      <x:c r="E217" t="str">
        <x:v>High</x:v>
      </x:c>
      <x:c r="F217" t="str">
        <x:v>In progress</x:v>
      </x:c>
      <x:c r="G217" s="38" t="n">
        <x:v>46146</x:v>
      </x:c>
      <x:c r="H217" t="str">
        <x:v>Anna</x:v>
      </x:c>
    </x:row>
    <x:row r="218">
      <x:c r="A218" t="str">
        <x:v>T-3214</x:v>
      </x:c>
      <x:c r="B218" t="str">
        <x:v>D-2068</x:v>
      </x:c>
      <x:c r="C218" t="str">
        <x:v>CloudNine 11</x:v>
      </x:c>
      <x:c r="D218" t="str">
        <x:v>Invoice</x:v>
      </x:c>
      <x:c r="E218" t="str">
        <x:v>Medium</x:v>
      </x:c>
      <x:c r="F218" t="str">
        <x:v>Open</x:v>
      </x:c>
      <x:c r="G218" s="38" t="n">
        <x:v>46081</x:v>
      </x:c>
      <x:c r="H218" t="str">
        <x:v>Olga</x:v>
      </x:c>
    </x:row>
    <x:row r="219">
      <x:c r="A219" t="str">
        <x:v>T-3215</x:v>
      </x:c>
      <x:c r="B219" t="str">
        <x:v>D-2153</x:v>
      </x:c>
      <x:c r="C219" t="str">
        <x:v>FreshMarket 52</x:v>
      </x:c>
      <x:c r="D219" t="str">
        <x:v>Send proposal</x:v>
      </x:c>
      <x:c r="E219" t="str">
        <x:v>High</x:v>
      </x:c>
      <x:c r="F219" t="str">
        <x:v>Done</x:v>
      </x:c>
      <x:c r="G219" s="38" t="n">
        <x:v>46122</x:v>
      </x:c>
      <x:c r="H219" t="str">
        <x:v>Sofia</x:v>
      </x:c>
    </x:row>
    <x:row r="220">
      <x:c r="A220" t="str">
        <x:v>T-3216</x:v>
      </x:c>
      <x:c r="B220" t="str">
        <x:v>D-2113</x:v>
      </x:c>
      <x:c r="C220" t="str">
        <x:v>RealEstate Pro 6</x:v>
      </x:c>
      <x:c r="D220" t="str">
        <x:v>Follow up</x:v>
      </x:c>
      <x:c r="E220" t="str">
        <x:v>Medium</x:v>
      </x:c>
      <x:c r="F220" t="str">
        <x:v>Done</x:v>
      </x:c>
      <x:c r="G220" s="38" t="n">
        <x:v>46128</x:v>
      </x:c>
      <x:c r="H220" t="str">
        <x:v>Elena</x:v>
      </x:c>
    </x:row>
    <x:row r="221">
      <x:c r="A221" t="str">
        <x:v>T-3217</x:v>
      </x:c>
      <x:c r="B221" t="str">
        <x:v>D-2110</x:v>
      </x:c>
      <x:c r="C221" t="str">
        <x:v>HealthPlus 42</x:v>
      </x:c>
      <x:c r="D221" t="str">
        <x:v>Client call</x:v>
      </x:c>
      <x:c r="E221" t="str">
        <x:v>High</x:v>
      </x:c>
      <x:c r="F221" t="str">
        <x:v>Open</x:v>
      </x:c>
      <x:c r="G221" s="38" t="n">
        <x:v>46107</x:v>
      </x:c>
      <x:c r="H221" t="str">
        <x:v>Anna</x:v>
      </x:c>
    </x:row>
    <x:row r="222">
      <x:c r="A222" t="str">
        <x:v>T-3218</x:v>
      </x:c>
      <x:c r="B222" t="str">
        <x:v>D-2071</x:v>
      </x:c>
      <x:c r="C222" t="str">
        <x:v>RealEstate Pro 57</x:v>
      </x:c>
      <x:c r="D222" t="str">
        <x:v>Follow up</x:v>
      </x:c>
      <x:c r="E222" t="str">
        <x:v>Medium</x:v>
      </x:c>
      <x:c r="F222" t="str">
        <x:v>Open</x:v>
      </x:c>
      <x:c r="G222" s="38" t="n">
        <x:v>46156</x:v>
      </x:c>
      <x:c r="H222" t="str">
        <x:v>Anna</x:v>
      </x:c>
    </x:row>
    <x:row r="223">
      <x:c r="A223" t="str">
        <x:v>T-3219</x:v>
      </x:c>
      <x:c r="B223" t="str">
        <x:v>D-2043</x:v>
      </x:c>
      <x:c r="C223" t="str">
        <x:v>EduPro 75</x:v>
      </x:c>
      <x:c r="D223" t="str">
        <x:v>Follow up</x:v>
      </x:c>
      <x:c r="E223" t="str">
        <x:v>Low</x:v>
      </x:c>
      <x:c r="F223" t="str">
        <x:v>Done</x:v>
      </x:c>
      <x:c r="G223" s="38" t="n">
        <x:v>46069</x:v>
      </x:c>
      <x:c r="H223" t="str">
        <x:v>Olga</x:v>
      </x:c>
    </x:row>
    <x:row r="224">
      <x:c r="A224" t="str">
        <x:v>T-3220</x:v>
      </x:c>
      <x:c r="B224" t="str">
        <x:v>D-2086</x:v>
      </x:c>
      <x:c r="C224" t="str">
        <x:v>FitLife 51</x:v>
      </x:c>
      <x:c r="D224" t="str">
        <x:v>Data request</x:v>
      </x:c>
      <x:c r="E224" t="str">
        <x:v>Critical</x:v>
      </x:c>
      <x:c r="F224" t="str">
        <x:v>Done</x:v>
      </x:c>
      <x:c r="G224" s="38" t="n">
        <x:v>46156</x:v>
      </x:c>
      <x:c r="H224" t="str">
        <x:v>Olga</x:v>
      </x:c>
    </x:row>
  </x:sheetData>
  <x:mergeCells>
    <x:mergeCell ref="A1:H1"/>
    <x:mergeCell ref="A2:H2"/>
  </x:mergeCells>
  <x:conditionalFormatting sqref="F5:F224">
    <x:cfRule type="expression" dxfId="5" priority="1">
      <x:formula>F5="Blocked"</x:formula>
    </x:cfRule>
  </x:conditionalFormatting>
  <x:conditionalFormatting sqref="E5:E224">
    <x:cfRule type="expression" dxfId="6" priority="2">
      <x:formula>E5="Critical"</x:formula>
    </x:cfRule>
  </x:conditionalFormatting>
  <x:dataValidations count="2">
    <x:dataValidation type="list" sqref="E5:E224">
      <x:formula1>"Low,Medium,High,Critical"</x:formula1>
    </x:dataValidation>
    <x:dataValidation type="list" sqref="F5:F224">
      <x:formula1>"Open,In progress,Done,Blocked"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eb09b2ef8c497e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4" max="4" width="14" hidden="0" customWidth="1"/>
    <x:col min="5" max="5" width="14" hidden="0" customWidth="1"/>
    <x:col min="7" max="7" width="14" hidden="0" customWidth="1"/>
    <x:col min="8" max="8" width="14" hidden="0" customWidth="1"/>
    <x:col min="3" max="3" width="14" hidden="0" customWidth="1"/>
    <x:col min="6" max="6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8" customHeight="1">
      <x:c r="A1" s="5" t="str">
        <x:v>Case 5 — Mini CRM / Business Tracker Dashboard</x:v>
      </x:c>
    </x:row>
    <x:row r="2" ht="34" customHeight="1">
      <x:c r="A2" s="12" t="str">
        <x:v>Pipeline, client statuses, deal value, owners and task workload.</x:v>
      </x:c>
    </x:row>
    <x:row r="4">
      <x:c r="A4" s="46" t="str">
        <x:v>Clients</x:v>
      </x:c>
      <x:c r="B4" s="24"/>
      <x:c r="C4" s="46" t="str">
        <x:v>Active deals</x:v>
      </x:c>
      <x:c r="D4" s="24"/>
      <x:c r="E4" s="46" t="str">
        <x:v>Pipeline value</x:v>
      </x:c>
      <x:c r="F4" s="24"/>
      <x:c r="G4" s="46" t="str">
        <x:v>Weighted pipeline</x:v>
      </x:c>
      <x:c r="H4" s="24"/>
      <x:c r="I4" s="46" t="str">
        <x:v>Open tasks</x:v>
      </x:c>
      <x:c r="J4" s="24"/>
      <x:c r="K4" s="46" t="str">
        <x:v>Blocked tasks</x:v>
      </x:c>
      <x:c r="L4" s="24"/>
    </x:row>
    <x:row r="5">
      <x:c r="A5" s="94" t="n">
        <x:f>COUNTA(CRM_Clients!A5:A84)</x:f>
        <x:v>80</x:v>
      </x:c>
      <x:c r="B5" s="24"/>
      <x:c r="C5" s="94" t="n">
        <x:f>COUNTIFS(CRM_Deals!D5:D164,"&lt;&gt;Won",CRM_Deals!D5:D164,"&lt;&gt;Lost")</x:f>
        <x:v>123</x:v>
      </x:c>
      <x:c r="D5" s="24"/>
      <x:c r="E5" s="106" t="n">
        <x:f>SUM(CRM_Deals!E5:E164)</x:f>
        <x:v>1330325.0599999998</x:v>
      </x:c>
      <x:c r="F5" s="24"/>
      <x:c r="G5" s="106" t="n">
        <x:f>SUMPRODUCT(CRM_Deals!E5:E164,CRM_Deals!F5:F164)</x:f>
        <x:v>560943.1764999998</x:v>
      </x:c>
      <x:c r="H5" s="24"/>
      <x:c r="I5" s="94" t="n">
        <x:f>COUNTIF(CRM_Tasks!F5:F224,"Open")+COUNTIF(CRM_Tasks!F5:F224,"In progress")</x:f>
        <x:v>124</x:v>
      </x:c>
      <x:c r="J5" s="24"/>
      <x:c r="K5" s="94" t="n">
        <x:f>COUNTIF(CRM_Tasks!F5:F224,"Blocked")</x:f>
        <x:v>17</x:v>
      </x:c>
      <x:c r="L5" s="24"/>
    </x:row>
    <x:row r="8">
      <x:c r="A8" s="32" t="str">
        <x:v>Stage</x:v>
      </x:c>
      <x:c r="B8" s="32" t="str">
        <x:v>Deal value</x:v>
      </x:c>
      <x:c r="D8" s="32" t="str">
        <x:v>Task status</x:v>
      </x:c>
      <x:c r="E8" s="32" t="str">
        <x:v>Count</x:v>
      </x:c>
      <x:c r="G8" s="32" t="str">
        <x:v>Owner</x:v>
      </x:c>
      <x:c r="H8" s="32" t="str">
        <x:v>Open tasks</x:v>
      </x:c>
    </x:row>
    <x:row r="9">
      <x:c r="A9" t="str">
        <x:v>New</x:v>
      </x:c>
      <x:c r="B9" s="86" t="n">
        <x:f>SUMIF(CRM_Deals!$D$5:$D$164,A9,CRM_Deals!$E$5:$E$164)</x:f>
        <x:v>156857.43</x:v>
      </x:c>
      <x:c r="D9" t="str">
        <x:v>Open</x:v>
      </x:c>
      <x:c r="E9" t="n">
        <x:f>COUNTIF(CRM_Tasks!$F$5:$F$224,D9)</x:f>
        <x:v>70</x:v>
      </x:c>
      <x:c r="G9" t="str">
        <x:v>Anna</x:v>
      </x:c>
      <x:c r="H9" t="n">
        <x:f>COUNTIFS(CRM_Tasks!$H$5:$H$224,G9,CRM_Tasks!$F$5:$F$224,"&lt;&gt;Done")</x:f>
        <x:v>28</x:v>
      </x:c>
    </x:row>
    <x:row r="10">
      <x:c r="A10" t="str">
        <x:v>Qualified</x:v>
      </x:c>
      <x:c r="B10" s="86" t="n">
        <x:f>SUMIF(CRM_Deals!$D$5:$D$164,A10,CRM_Deals!$E$5:$E$164)</x:f>
        <x:v>452338.79</x:v>
      </x:c>
      <x:c r="D10" t="str">
        <x:v>In progress</x:v>
      </x:c>
      <x:c r="E10" t="n">
        <x:f>COUNTIF(CRM_Tasks!$F$5:$F$224,D10)</x:f>
        <x:v>54</x:v>
      </x:c>
      <x:c r="G10" t="str">
        <x:v>Maria</x:v>
      </x:c>
      <x:c r="H10" t="n">
        <x:f>COUNTIFS(CRM_Tasks!$H$5:$H$224,G10,CRM_Tasks!$F$5:$F$224,"&lt;&gt;Done")</x:f>
        <x:v>12</x:v>
      </x:c>
    </x:row>
    <x:row r="11">
      <x:c r="A11" t="str">
        <x:v>Proposal</x:v>
      </x:c>
      <x:c r="B11" s="86" t="n">
        <x:f>SUMIF(CRM_Deals!$D$5:$D$164,A11,CRM_Deals!$E$5:$E$164)</x:f>
        <x:v>240401.57999999996</x:v>
      </x:c>
      <x:c r="D11" t="str">
        <x:v>Done</x:v>
      </x:c>
      <x:c r="E11" t="n">
        <x:f>COUNTIF(CRM_Tasks!$F$5:$F$224,D11)</x:f>
        <x:v>79</x:v>
      </x:c>
      <x:c r="G11" t="str">
        <x:v>Olga</x:v>
      </x:c>
      <x:c r="H11" t="n">
        <x:f>COUNTIFS(CRM_Tasks!$H$5:$H$224,G11,CRM_Tasks!$F$5:$F$224,"&lt;&gt;Done")</x:f>
        <x:v>25</x:v>
      </x:c>
    </x:row>
    <x:row r="12">
      <x:c r="A12" t="str">
        <x:v>Negotiation</x:v>
      </x:c>
      <x:c r="B12" s="86" t="n">
        <x:f>SUMIF(CRM_Deals!$D$5:$D$164,A12,CRM_Deals!$E$5:$E$164)</x:f>
        <x:v>168881.1</x:v>
      </x:c>
      <x:c r="D12" t="str">
        <x:v>Blocked</x:v>
      </x:c>
      <x:c r="E12" t="n">
        <x:f>COUNTIF(CRM_Tasks!$F$5:$F$224,D12)</x:f>
        <x:v>17</x:v>
      </x:c>
      <x:c r="G12" t="str">
        <x:v>Sofia</x:v>
      </x:c>
      <x:c r="H12" t="n">
        <x:f>COUNTIFS(CRM_Tasks!$H$5:$H$224,G12,CRM_Tasks!$F$5:$F$224,"&lt;&gt;Done")</x:f>
        <x:v>32</x:v>
      </x:c>
    </x:row>
    <x:row r="13">
      <x:c r="A13" t="str">
        <x:v>Won</x:v>
      </x:c>
      <x:c r="B13" s="86" t="n">
        <x:f>SUMIF(CRM_Deals!$D$5:$D$164,A13,CRM_Deals!$E$5:$E$164)</x:f>
        <x:v>214219.31000000003</x:v>
      </x:c>
      <x:c r="G13" t="str">
        <x:v>Daria</x:v>
      </x:c>
      <x:c r="H13" t="n">
        <x:f>COUNTIFS(CRM_Tasks!$H$5:$H$224,G13,CRM_Tasks!$F$5:$F$224,"&lt;&gt;Done")</x:f>
        <x:v>24</x:v>
      </x:c>
    </x:row>
    <x:row r="14">
      <x:c r="A14" t="str">
        <x:v>Lost</x:v>
      </x:c>
      <x:c r="B14" s="86" t="n">
        <x:f>SUMIF(CRM_Deals!$D$5:$D$164,A14,CRM_Deals!$E$5:$E$164)</x:f>
        <x:v>97626.84999999999</x:v>
      </x:c>
      <x:c r="G14" t="str">
        <x:v>Elena</x:v>
      </x:c>
      <x:c r="H14" t="n">
        <x:f>COUNTIFS(CRM_Tasks!$H$5:$H$224,G14,CRM_Tasks!$F$5:$F$224,"&lt;&gt;Done")</x:f>
        <x:v>20</x:v>
      </x:c>
    </x:row>
    <x:row r="15">
      <x:c r="B15" s="86"/>
    </x:row>
    <x:row r="16">
      <x:c r="B16" s="86"/>
    </x:row>
    <x:row r="17">
      <x:c r="B17" s="86"/>
    </x:row>
    <x:row r="18">
      <x:c r="B18" s="86"/>
    </x:row>
    <x:row r="19">
      <x:c r="B19" s="86"/>
    </x:row>
    <x:row r="20">
      <x:c r="B20" s="86"/>
    </x:row>
  </x:sheetData>
  <x:mergeCells>
    <x:mergeCell ref="A1:L1"/>
    <x:mergeCell ref="A2:L2"/>
    <x:mergeCell ref="A4:B4"/>
    <x:mergeCell ref="A5:B5"/>
    <x:mergeCell ref="C4:D4"/>
    <x:mergeCell ref="C5:D5"/>
    <x:mergeCell ref="E4:F4"/>
    <x:mergeCell ref="E5:F5"/>
    <x:mergeCell ref="G4:H4"/>
    <x:mergeCell ref="G5:H5"/>
    <x:mergeCell ref="I4:J4"/>
    <x:mergeCell ref="I5:J5"/>
    <x:mergeCell ref="K4:L4"/>
    <x:mergeCell ref="K5:L5"/>
  </x:mergeCells>
  <x:pageMargins left="0.7" right="0.7" top="0.75" bottom="0.75" header="0.3" footer="0.3"/>
  <x:drawing xmlns:r="http://schemas.openxmlformats.org/officeDocument/2006/relationships" r:id="R6044d1b882aa420c"/>
</x:worksheet>
</file>